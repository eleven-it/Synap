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 autoCompressPictures="0"/>
  <mc:AlternateContent xmlns:mc="http://schemas.openxmlformats.org/markup-compatibility/2006">
    <mc:Choice Requires="x15">
      <x15ac:absPath xmlns:x15ac="http://schemas.microsoft.com/office/spreadsheetml/2010/11/ac" url="/Users/Fran/Downloads/"/>
    </mc:Choice>
  </mc:AlternateContent>
  <xr:revisionPtr revIDLastSave="0" documentId="8_{CC5C71BF-D2AC-0041-8F80-CCC37A89DA15}" xr6:coauthVersionLast="47" xr6:coauthVersionMax="47" xr10:uidLastSave="{00000000-0000-0000-0000-000000000000}"/>
  <bookViews>
    <workbookView xWindow="1020" yWindow="820" windowWidth="28380" windowHeight="12500" xr2:uid="{00000000-000D-0000-FFFF-FFFF00000000}"/>
  </bookViews>
  <sheets>
    <sheet name="input Licensee sales" sheetId="4" r:id="rId1"/>
    <sheet name="input Licensee ooh" sheetId="6" r:id="rId2"/>
    <sheet name="monthly" sheetId="1" r:id="rId3"/>
    <sheet name="minimum agreed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F4" i="4" l="1"/>
  <c r="AF136" i="4" s="1"/>
  <c r="AE136" i="4"/>
  <c r="AG136" i="4"/>
  <c r="AI136" i="4"/>
  <c r="AK136" i="4"/>
  <c r="AE137" i="4"/>
  <c r="AG137" i="4"/>
  <c r="AI137" i="4"/>
  <c r="AK137" i="4"/>
  <c r="AE138" i="4"/>
  <c r="AG138" i="4"/>
  <c r="AI138" i="4"/>
  <c r="AK138" i="4"/>
  <c r="AE139" i="4"/>
  <c r="AG139" i="4"/>
  <c r="AI139" i="4"/>
  <c r="AK139" i="4"/>
  <c r="AE140" i="4"/>
  <c r="AG140" i="4"/>
  <c r="AI140" i="4"/>
  <c r="AK140" i="4"/>
  <c r="AE141" i="4"/>
  <c r="AG141" i="4"/>
  <c r="AI141" i="4"/>
  <c r="AK141" i="4"/>
  <c r="AE142" i="4"/>
  <c r="AG142" i="4"/>
  <c r="AI142" i="4"/>
  <c r="AK142" i="4"/>
  <c r="AE143" i="4"/>
  <c r="AG143" i="4"/>
  <c r="AI143" i="4"/>
  <c r="AK143" i="4"/>
  <c r="AE144" i="4"/>
  <c r="AG144" i="4"/>
  <c r="AI144" i="4"/>
  <c r="AK144" i="4"/>
  <c r="AF138" i="4" l="1"/>
  <c r="AF140" i="4"/>
  <c r="AF142" i="4"/>
  <c r="AF144" i="4"/>
  <c r="AF143" i="4"/>
  <c r="AF141" i="4"/>
  <c r="AF139" i="4"/>
  <c r="AF137" i="4"/>
  <c r="AE134" i="4"/>
  <c r="AF134" i="4"/>
  <c r="AG134" i="4"/>
  <c r="AI134" i="4"/>
  <c r="AK134" i="4"/>
  <c r="AE135" i="4"/>
  <c r="AF135" i="4"/>
  <c r="AG135" i="4"/>
  <c r="AI135" i="4"/>
  <c r="AK135" i="4"/>
  <c r="AK5" i="4" l="1"/>
  <c r="AK6" i="4"/>
  <c r="AK7" i="4"/>
  <c r="AK8" i="4"/>
  <c r="AK9" i="4"/>
  <c r="AK10" i="4"/>
  <c r="AK11" i="4"/>
  <c r="AK12" i="4"/>
  <c r="AK13" i="4"/>
  <c r="AK14" i="4"/>
  <c r="AK15" i="4"/>
  <c r="AK16" i="4"/>
  <c r="AK17" i="4"/>
  <c r="AK18" i="4"/>
  <c r="AK19" i="4"/>
  <c r="AK20" i="4"/>
  <c r="AK21" i="4"/>
  <c r="AK22" i="4"/>
  <c r="AK23" i="4"/>
  <c r="AK24" i="4"/>
  <c r="AK25" i="4"/>
  <c r="AK26" i="4"/>
  <c r="AK27" i="4"/>
  <c r="AK28" i="4"/>
  <c r="AK29" i="4"/>
  <c r="AK30" i="4"/>
  <c r="AK31" i="4"/>
  <c r="AK32" i="4"/>
  <c r="AK33" i="4"/>
  <c r="AK34" i="4"/>
  <c r="AK35" i="4"/>
  <c r="AK36" i="4"/>
  <c r="AK37" i="4"/>
  <c r="AK38" i="4"/>
  <c r="AK39" i="4"/>
  <c r="AK40" i="4"/>
  <c r="AK41" i="4"/>
  <c r="AK42" i="4"/>
  <c r="AK43" i="4"/>
  <c r="AK44" i="4"/>
  <c r="AK45" i="4"/>
  <c r="AK46" i="4"/>
  <c r="AK47" i="4"/>
  <c r="AK48" i="4"/>
  <c r="AK49" i="4"/>
  <c r="AK50" i="4"/>
  <c r="AK51" i="4"/>
  <c r="AK52" i="4"/>
  <c r="AK53" i="4"/>
  <c r="AK54" i="4"/>
  <c r="AK55" i="4"/>
  <c r="AK56" i="4"/>
  <c r="AK57" i="4"/>
  <c r="AK58" i="4"/>
  <c r="AK59" i="4"/>
  <c r="AK60" i="4"/>
  <c r="AK61" i="4"/>
  <c r="AK62" i="4"/>
  <c r="AK63" i="4"/>
  <c r="AK64" i="4"/>
  <c r="AK65" i="4"/>
  <c r="AK66" i="4"/>
  <c r="AK67" i="4"/>
  <c r="AK68" i="4"/>
  <c r="AK69" i="4"/>
  <c r="AK70" i="4"/>
  <c r="AK71" i="4"/>
  <c r="AK72" i="4"/>
  <c r="AK73" i="4"/>
  <c r="AK74" i="4"/>
  <c r="AK75" i="4"/>
  <c r="AK76" i="4"/>
  <c r="AK77" i="4"/>
  <c r="AK78" i="4"/>
  <c r="AK79" i="4"/>
  <c r="AK80" i="4"/>
  <c r="AK81" i="4"/>
  <c r="AK82" i="4"/>
  <c r="AK83" i="4"/>
  <c r="AK84" i="4"/>
  <c r="AK85" i="4"/>
  <c r="AK86" i="4"/>
  <c r="AK87" i="4"/>
  <c r="AK88" i="4"/>
  <c r="AK89" i="4"/>
  <c r="AK90" i="4"/>
  <c r="AK91" i="4"/>
  <c r="AK92" i="4"/>
  <c r="AK93" i="4"/>
  <c r="AK94" i="4"/>
  <c r="AK95" i="4"/>
  <c r="AK96" i="4"/>
  <c r="AK97" i="4"/>
  <c r="AK98" i="4"/>
  <c r="AK99" i="4"/>
  <c r="AK100" i="4"/>
  <c r="AK101" i="4"/>
  <c r="AK102" i="4"/>
  <c r="AK103" i="4"/>
  <c r="AK104" i="4"/>
  <c r="AK105" i="4"/>
  <c r="AK106" i="4"/>
  <c r="AK107" i="4"/>
  <c r="AK108" i="4"/>
  <c r="AK109" i="4"/>
  <c r="AK110" i="4"/>
  <c r="AK111" i="4"/>
  <c r="AK112" i="4"/>
  <c r="AK113" i="4"/>
  <c r="AK114" i="4"/>
  <c r="AK115" i="4"/>
  <c r="AK116" i="4"/>
  <c r="AK117" i="4"/>
  <c r="AK118" i="4"/>
  <c r="AK119" i="4"/>
  <c r="AK120" i="4"/>
  <c r="AK121" i="4"/>
  <c r="AK122" i="4"/>
  <c r="AK123" i="4"/>
  <c r="AK124" i="4"/>
  <c r="AK125" i="4"/>
  <c r="AK126" i="4"/>
  <c r="AK127" i="4"/>
  <c r="AK128" i="4"/>
  <c r="AK129" i="4"/>
  <c r="AK130" i="4"/>
  <c r="AK131" i="4"/>
  <c r="AK132" i="4"/>
  <c r="AK133" i="4"/>
  <c r="AL4" i="4"/>
  <c r="AE5" i="4"/>
  <c r="AG5" i="4"/>
  <c r="AI5" i="4"/>
  <c r="AE6" i="4"/>
  <c r="AG6" i="4"/>
  <c r="AI6" i="4"/>
  <c r="AE7" i="4"/>
  <c r="AG7" i="4"/>
  <c r="AI7" i="4"/>
  <c r="AE8" i="4"/>
  <c r="AG8" i="4"/>
  <c r="AI8" i="4"/>
  <c r="AE9" i="4"/>
  <c r="AG9" i="4"/>
  <c r="AI9" i="4"/>
  <c r="AE10" i="4"/>
  <c r="AG10" i="4"/>
  <c r="AI10" i="4"/>
  <c r="AE11" i="4"/>
  <c r="AG11" i="4"/>
  <c r="AI11" i="4"/>
  <c r="AE12" i="4"/>
  <c r="AG12" i="4"/>
  <c r="AI12" i="4"/>
  <c r="AE13" i="4"/>
  <c r="AG13" i="4"/>
  <c r="AI13" i="4"/>
  <c r="AE14" i="4"/>
  <c r="AG14" i="4"/>
  <c r="AI14" i="4"/>
  <c r="AE15" i="4"/>
  <c r="AG15" i="4"/>
  <c r="AI15" i="4"/>
  <c r="AE16" i="4"/>
  <c r="AG16" i="4"/>
  <c r="AI16" i="4"/>
  <c r="AE17" i="4"/>
  <c r="AG17" i="4"/>
  <c r="AI17" i="4"/>
  <c r="AE18" i="4"/>
  <c r="AG18" i="4"/>
  <c r="AI18" i="4"/>
  <c r="AE19" i="4"/>
  <c r="AG19" i="4"/>
  <c r="AI19" i="4"/>
  <c r="AE20" i="4"/>
  <c r="AG20" i="4"/>
  <c r="AI20" i="4"/>
  <c r="AE21" i="4"/>
  <c r="AG21" i="4"/>
  <c r="AI21" i="4"/>
  <c r="AE22" i="4"/>
  <c r="AG22" i="4"/>
  <c r="AI22" i="4"/>
  <c r="AE23" i="4"/>
  <c r="AG23" i="4"/>
  <c r="AI23" i="4"/>
  <c r="AE24" i="4"/>
  <c r="AG24" i="4"/>
  <c r="AI24" i="4"/>
  <c r="AE25" i="4"/>
  <c r="AG25" i="4"/>
  <c r="AI25" i="4"/>
  <c r="AE26" i="4"/>
  <c r="AG26" i="4"/>
  <c r="AI26" i="4"/>
  <c r="AE27" i="4"/>
  <c r="AG27" i="4"/>
  <c r="AI27" i="4"/>
  <c r="AE28" i="4"/>
  <c r="AG28" i="4"/>
  <c r="AI28" i="4"/>
  <c r="AE29" i="4"/>
  <c r="AG29" i="4"/>
  <c r="AI29" i="4"/>
  <c r="AE30" i="4"/>
  <c r="AG30" i="4"/>
  <c r="AI30" i="4"/>
  <c r="AE31" i="4"/>
  <c r="AG31" i="4"/>
  <c r="AI31" i="4"/>
  <c r="AE32" i="4"/>
  <c r="AG32" i="4"/>
  <c r="AI32" i="4"/>
  <c r="AE33" i="4"/>
  <c r="AG33" i="4"/>
  <c r="AI33" i="4"/>
  <c r="AE34" i="4"/>
  <c r="AG34" i="4"/>
  <c r="AI34" i="4"/>
  <c r="AE35" i="4"/>
  <c r="AG35" i="4"/>
  <c r="AI35" i="4"/>
  <c r="AE36" i="4"/>
  <c r="AG36" i="4"/>
  <c r="AI36" i="4"/>
  <c r="AE37" i="4"/>
  <c r="AG37" i="4"/>
  <c r="AI37" i="4"/>
  <c r="AE38" i="4"/>
  <c r="AG38" i="4"/>
  <c r="AI38" i="4"/>
  <c r="AE39" i="4"/>
  <c r="AG39" i="4"/>
  <c r="AI39" i="4"/>
  <c r="AE40" i="4"/>
  <c r="AG40" i="4"/>
  <c r="AI40" i="4"/>
  <c r="AE41" i="4"/>
  <c r="AG41" i="4"/>
  <c r="AI41" i="4"/>
  <c r="AE42" i="4"/>
  <c r="AG42" i="4"/>
  <c r="AI42" i="4"/>
  <c r="AE43" i="4"/>
  <c r="AG43" i="4"/>
  <c r="AI43" i="4"/>
  <c r="AE44" i="4"/>
  <c r="AG44" i="4"/>
  <c r="AI44" i="4"/>
  <c r="AE45" i="4"/>
  <c r="AG45" i="4"/>
  <c r="AI45" i="4"/>
  <c r="AE46" i="4"/>
  <c r="AG46" i="4"/>
  <c r="AI46" i="4"/>
  <c r="AE47" i="4"/>
  <c r="AG47" i="4"/>
  <c r="AI47" i="4"/>
  <c r="AE48" i="4"/>
  <c r="AG48" i="4"/>
  <c r="AI48" i="4"/>
  <c r="AE49" i="4"/>
  <c r="AG49" i="4"/>
  <c r="AI49" i="4"/>
  <c r="AE50" i="4"/>
  <c r="AG50" i="4"/>
  <c r="AI50" i="4"/>
  <c r="AE51" i="4"/>
  <c r="AG51" i="4"/>
  <c r="AI51" i="4"/>
  <c r="AE52" i="4"/>
  <c r="AG52" i="4"/>
  <c r="AI52" i="4"/>
  <c r="AE53" i="4"/>
  <c r="AG53" i="4"/>
  <c r="AI53" i="4"/>
  <c r="AE54" i="4"/>
  <c r="AG54" i="4"/>
  <c r="AI54" i="4"/>
  <c r="AE55" i="4"/>
  <c r="AG55" i="4"/>
  <c r="AI55" i="4"/>
  <c r="AE56" i="4"/>
  <c r="AG56" i="4"/>
  <c r="AI56" i="4"/>
  <c r="AE57" i="4"/>
  <c r="AG57" i="4"/>
  <c r="AI57" i="4"/>
  <c r="AE58" i="4"/>
  <c r="AG58" i="4"/>
  <c r="AI58" i="4"/>
  <c r="AE59" i="4"/>
  <c r="AG59" i="4"/>
  <c r="AI59" i="4"/>
  <c r="AE60" i="4"/>
  <c r="AG60" i="4"/>
  <c r="AI60" i="4"/>
  <c r="AE61" i="4"/>
  <c r="AG61" i="4"/>
  <c r="AI61" i="4"/>
  <c r="AE62" i="4"/>
  <c r="AG62" i="4"/>
  <c r="AI62" i="4"/>
  <c r="AE63" i="4"/>
  <c r="AG63" i="4"/>
  <c r="AI63" i="4"/>
  <c r="AE64" i="4"/>
  <c r="AG64" i="4"/>
  <c r="AI64" i="4"/>
  <c r="AE65" i="4"/>
  <c r="AG65" i="4"/>
  <c r="AI65" i="4"/>
  <c r="AE66" i="4"/>
  <c r="AG66" i="4"/>
  <c r="AI66" i="4"/>
  <c r="AE67" i="4"/>
  <c r="AG67" i="4"/>
  <c r="AI67" i="4"/>
  <c r="AE68" i="4"/>
  <c r="AG68" i="4"/>
  <c r="AI68" i="4"/>
  <c r="AE69" i="4"/>
  <c r="AG69" i="4"/>
  <c r="AI69" i="4"/>
  <c r="AE70" i="4"/>
  <c r="AG70" i="4"/>
  <c r="AI70" i="4"/>
  <c r="AE71" i="4"/>
  <c r="AG71" i="4"/>
  <c r="AI71" i="4"/>
  <c r="AE72" i="4"/>
  <c r="AG72" i="4"/>
  <c r="AI72" i="4"/>
  <c r="AE73" i="4"/>
  <c r="AG73" i="4"/>
  <c r="AI73" i="4"/>
  <c r="AE74" i="4"/>
  <c r="AG74" i="4"/>
  <c r="AI74" i="4"/>
  <c r="AE75" i="4"/>
  <c r="AG75" i="4"/>
  <c r="AI75" i="4"/>
  <c r="AE76" i="4"/>
  <c r="AG76" i="4"/>
  <c r="AI76" i="4"/>
  <c r="AE77" i="4"/>
  <c r="AG77" i="4"/>
  <c r="AI77" i="4"/>
  <c r="AE78" i="4"/>
  <c r="AG78" i="4"/>
  <c r="AI78" i="4"/>
  <c r="AE79" i="4"/>
  <c r="AG79" i="4"/>
  <c r="AI79" i="4"/>
  <c r="AE80" i="4"/>
  <c r="AG80" i="4"/>
  <c r="AI80" i="4"/>
  <c r="AE81" i="4"/>
  <c r="AG81" i="4"/>
  <c r="AI81" i="4"/>
  <c r="AE82" i="4"/>
  <c r="AG82" i="4"/>
  <c r="AI82" i="4"/>
  <c r="AE83" i="4"/>
  <c r="AG83" i="4"/>
  <c r="AI83" i="4"/>
  <c r="AE84" i="4"/>
  <c r="AG84" i="4"/>
  <c r="AI84" i="4"/>
  <c r="AE85" i="4"/>
  <c r="AG85" i="4"/>
  <c r="AI85" i="4"/>
  <c r="AE86" i="4"/>
  <c r="AG86" i="4"/>
  <c r="AI86" i="4"/>
  <c r="AE87" i="4"/>
  <c r="AG87" i="4"/>
  <c r="AI87" i="4"/>
  <c r="AE88" i="4"/>
  <c r="AG88" i="4"/>
  <c r="AI88" i="4"/>
  <c r="AE89" i="4"/>
  <c r="AG89" i="4"/>
  <c r="AI89" i="4"/>
  <c r="AE90" i="4"/>
  <c r="AG90" i="4"/>
  <c r="AI90" i="4"/>
  <c r="AE91" i="4"/>
  <c r="AG91" i="4"/>
  <c r="AI91" i="4"/>
  <c r="AE92" i="4"/>
  <c r="AG92" i="4"/>
  <c r="AI92" i="4"/>
  <c r="AE93" i="4"/>
  <c r="AG93" i="4"/>
  <c r="AI93" i="4"/>
  <c r="AE94" i="4"/>
  <c r="AG94" i="4"/>
  <c r="AI94" i="4"/>
  <c r="AE95" i="4"/>
  <c r="AG95" i="4"/>
  <c r="AI95" i="4"/>
  <c r="AE96" i="4"/>
  <c r="AG96" i="4"/>
  <c r="AI96" i="4"/>
  <c r="AE97" i="4"/>
  <c r="AG97" i="4"/>
  <c r="AI97" i="4"/>
  <c r="AE98" i="4"/>
  <c r="AG98" i="4"/>
  <c r="AI98" i="4"/>
  <c r="AE99" i="4"/>
  <c r="AG99" i="4"/>
  <c r="AI99" i="4"/>
  <c r="AE100" i="4"/>
  <c r="AG100" i="4"/>
  <c r="AI100" i="4"/>
  <c r="AE101" i="4"/>
  <c r="AG101" i="4"/>
  <c r="AI101" i="4"/>
  <c r="AE102" i="4"/>
  <c r="AG102" i="4"/>
  <c r="AI102" i="4"/>
  <c r="AE103" i="4"/>
  <c r="AG103" i="4"/>
  <c r="AI103" i="4"/>
  <c r="AE104" i="4"/>
  <c r="AG104" i="4"/>
  <c r="AI104" i="4"/>
  <c r="AE105" i="4"/>
  <c r="AG105" i="4"/>
  <c r="AI105" i="4"/>
  <c r="AE106" i="4"/>
  <c r="AG106" i="4"/>
  <c r="AI106" i="4"/>
  <c r="AE107" i="4"/>
  <c r="AG107" i="4"/>
  <c r="AI107" i="4"/>
  <c r="AE108" i="4"/>
  <c r="AG108" i="4"/>
  <c r="AI108" i="4"/>
  <c r="AE109" i="4"/>
  <c r="AG109" i="4"/>
  <c r="AI109" i="4"/>
  <c r="AE110" i="4"/>
  <c r="AG110" i="4"/>
  <c r="AI110" i="4"/>
  <c r="AE111" i="4"/>
  <c r="AG111" i="4"/>
  <c r="AI111" i="4"/>
  <c r="AE112" i="4"/>
  <c r="AG112" i="4"/>
  <c r="AI112" i="4"/>
  <c r="AE113" i="4"/>
  <c r="AG113" i="4"/>
  <c r="AI113" i="4"/>
  <c r="AE114" i="4"/>
  <c r="AG114" i="4"/>
  <c r="AI114" i="4"/>
  <c r="AE115" i="4"/>
  <c r="AG115" i="4"/>
  <c r="AI115" i="4"/>
  <c r="AE116" i="4"/>
  <c r="AG116" i="4"/>
  <c r="AI116" i="4"/>
  <c r="AE117" i="4"/>
  <c r="AG117" i="4"/>
  <c r="AI117" i="4"/>
  <c r="AE118" i="4"/>
  <c r="AG118" i="4"/>
  <c r="AI118" i="4"/>
  <c r="AE119" i="4"/>
  <c r="AG119" i="4"/>
  <c r="AI119" i="4"/>
  <c r="AE120" i="4"/>
  <c r="AG120" i="4"/>
  <c r="AI120" i="4"/>
  <c r="AE121" i="4"/>
  <c r="AG121" i="4"/>
  <c r="AI121" i="4"/>
  <c r="AE122" i="4"/>
  <c r="AG122" i="4"/>
  <c r="AI122" i="4"/>
  <c r="AE123" i="4"/>
  <c r="AG123" i="4"/>
  <c r="AI123" i="4"/>
  <c r="AE124" i="4"/>
  <c r="AG124" i="4"/>
  <c r="AI124" i="4"/>
  <c r="AE125" i="4"/>
  <c r="AG125" i="4"/>
  <c r="AI125" i="4"/>
  <c r="AE126" i="4"/>
  <c r="AG126" i="4"/>
  <c r="AI126" i="4"/>
  <c r="AE127" i="4"/>
  <c r="AG127" i="4"/>
  <c r="AI127" i="4"/>
  <c r="AE128" i="4"/>
  <c r="AG128" i="4"/>
  <c r="AI128" i="4"/>
  <c r="AE129" i="4"/>
  <c r="AG129" i="4"/>
  <c r="AI129" i="4"/>
  <c r="AE130" i="4"/>
  <c r="AG130" i="4"/>
  <c r="AI130" i="4"/>
  <c r="AE131" i="4"/>
  <c r="AG131" i="4"/>
  <c r="AI131" i="4"/>
  <c r="AE132" i="4"/>
  <c r="AG132" i="4"/>
  <c r="AI132" i="4"/>
  <c r="AE133" i="4"/>
  <c r="AG133" i="4"/>
  <c r="AI133" i="4"/>
  <c r="AC44" i="4"/>
  <c r="AD44" i="4"/>
  <c r="AC45" i="4"/>
  <c r="AD45" i="4"/>
  <c r="AL139" i="4" l="1"/>
  <c r="AL144" i="4"/>
  <c r="AL143" i="4"/>
  <c r="AL138" i="4"/>
  <c r="AL142" i="4"/>
  <c r="AL141" i="4"/>
  <c r="AL137" i="4"/>
  <c r="AL136" i="4"/>
  <c r="AL140" i="4"/>
  <c r="AL99" i="4"/>
  <c r="AL135" i="4"/>
  <c r="AL134" i="4"/>
  <c r="AL126" i="4"/>
  <c r="AL117" i="4"/>
  <c r="AL108" i="4"/>
  <c r="AL95" i="4"/>
  <c r="AL90" i="4"/>
  <c r="AL79" i="4"/>
  <c r="AL74" i="4"/>
  <c r="AL63" i="4"/>
  <c r="AL58" i="4"/>
  <c r="AL47" i="4"/>
  <c r="AL42" i="4"/>
  <c r="AL31" i="4"/>
  <c r="AL26" i="4"/>
  <c r="AL15" i="4"/>
  <c r="AL10" i="4"/>
  <c r="AL130" i="4"/>
  <c r="AL121" i="4"/>
  <c r="AL112" i="4"/>
  <c r="AL5" i="4"/>
  <c r="AL8" i="4"/>
  <c r="AL12" i="4"/>
  <c r="AL16" i="4"/>
  <c r="AL20" i="4"/>
  <c r="AL24" i="4"/>
  <c r="AL28" i="4"/>
  <c r="AL32" i="4"/>
  <c r="AL36" i="4"/>
  <c r="AL40" i="4"/>
  <c r="AL44" i="4"/>
  <c r="AL48" i="4"/>
  <c r="AL52" i="4"/>
  <c r="AL56" i="4"/>
  <c r="AL60" i="4"/>
  <c r="AL64" i="4"/>
  <c r="AL68" i="4"/>
  <c r="AL72" i="4"/>
  <c r="AL76" i="4"/>
  <c r="AL80" i="4"/>
  <c r="AL84" i="4"/>
  <c r="AL88" i="4"/>
  <c r="AL92" i="4"/>
  <c r="AL96" i="4"/>
  <c r="AL100" i="4"/>
  <c r="AL103" i="4"/>
  <c r="AL107" i="4"/>
  <c r="AL111" i="4"/>
  <c r="AL115" i="4"/>
  <c r="AL119" i="4"/>
  <c r="AL123" i="4"/>
  <c r="AL127" i="4"/>
  <c r="AL131" i="4"/>
  <c r="AL6" i="4"/>
  <c r="AL9" i="4"/>
  <c r="AL13" i="4"/>
  <c r="AL17" i="4"/>
  <c r="AL21" i="4"/>
  <c r="AL25" i="4"/>
  <c r="AL29" i="4"/>
  <c r="AL37" i="4"/>
  <c r="AL41" i="4"/>
  <c r="AL45" i="4"/>
  <c r="AL49" i="4"/>
  <c r="AL53" i="4"/>
  <c r="AL57" i="4"/>
  <c r="AL61" i="4"/>
  <c r="AL65" i="4"/>
  <c r="AL69" i="4"/>
  <c r="AL73" i="4"/>
  <c r="AL77" i="4"/>
  <c r="AL81" i="4"/>
  <c r="AL85" i="4"/>
  <c r="AL89" i="4"/>
  <c r="AL93" i="4"/>
  <c r="AL33" i="4"/>
  <c r="AL7" i="4"/>
  <c r="AL125" i="4"/>
  <c r="AL116" i="4"/>
  <c r="AL102" i="4"/>
  <c r="AL94" i="4"/>
  <c r="AL83" i="4"/>
  <c r="AL78" i="4"/>
  <c r="AL67" i="4"/>
  <c r="AL62" i="4"/>
  <c r="AL51" i="4"/>
  <c r="AL46" i="4"/>
  <c r="AL35" i="4"/>
  <c r="AL30" i="4"/>
  <c r="AL19" i="4"/>
  <c r="AL14" i="4"/>
  <c r="AL129" i="4"/>
  <c r="AL120" i="4"/>
  <c r="AL106" i="4"/>
  <c r="AL98" i="4"/>
  <c r="AL133" i="4"/>
  <c r="AL124" i="4"/>
  <c r="AL110" i="4"/>
  <c r="AL87" i="4"/>
  <c r="AL82" i="4"/>
  <c r="AL71" i="4"/>
  <c r="AL66" i="4"/>
  <c r="AL55" i="4"/>
  <c r="AL50" i="4"/>
  <c r="AL39" i="4"/>
  <c r="AL34" i="4"/>
  <c r="AL23" i="4"/>
  <c r="AL18" i="4"/>
  <c r="AL128" i="4"/>
  <c r="AL114" i="4"/>
  <c r="AL105" i="4"/>
  <c r="AL97" i="4"/>
  <c r="AL132" i="4"/>
  <c r="AL118" i="4"/>
  <c r="AL109" i="4"/>
  <c r="AL101" i="4"/>
  <c r="AL91" i="4"/>
  <c r="AL86" i="4"/>
  <c r="AL75" i="4"/>
  <c r="AL70" i="4"/>
  <c r="AL59" i="4"/>
  <c r="AL54" i="4"/>
  <c r="AL43" i="4"/>
  <c r="AL38" i="4"/>
  <c r="AL27" i="4"/>
  <c r="AL22" i="4"/>
  <c r="AL11" i="4"/>
  <c r="AL122" i="4"/>
  <c r="AL113" i="4"/>
  <c r="AL104" i="4"/>
  <c r="AC109" i="4" l="1"/>
  <c r="AD109" i="4"/>
  <c r="AC49" i="4"/>
  <c r="AD49" i="4"/>
  <c r="AC50" i="4"/>
  <c r="AD50" i="4"/>
  <c r="AC51" i="4"/>
  <c r="AD51" i="4"/>
  <c r="AC52" i="4"/>
  <c r="AD52" i="4"/>
  <c r="AC53" i="4"/>
  <c r="AD53" i="4"/>
  <c r="AC54" i="4"/>
  <c r="AD54" i="4"/>
  <c r="AC55" i="4"/>
  <c r="AD55" i="4"/>
  <c r="AC56" i="4"/>
  <c r="AD56" i="4"/>
  <c r="AC57" i="4"/>
  <c r="AD57" i="4"/>
  <c r="AC58" i="4"/>
  <c r="AD58" i="4"/>
  <c r="AC59" i="4"/>
  <c r="AD59" i="4"/>
  <c r="AC60" i="4"/>
  <c r="AD60" i="4"/>
  <c r="AC61" i="4"/>
  <c r="AD61" i="4"/>
  <c r="AC62" i="4"/>
  <c r="AD62" i="4"/>
  <c r="AC63" i="4"/>
  <c r="AD63" i="4"/>
  <c r="AC64" i="4"/>
  <c r="AD64" i="4"/>
  <c r="AC65" i="4"/>
  <c r="AD65" i="4"/>
  <c r="AC66" i="4"/>
  <c r="AD66" i="4"/>
  <c r="AC67" i="4"/>
  <c r="AD67" i="4"/>
  <c r="AC68" i="4"/>
  <c r="AD68" i="4"/>
  <c r="AC69" i="4"/>
  <c r="AD69" i="4"/>
  <c r="AC70" i="4"/>
  <c r="AD70" i="4"/>
  <c r="AC71" i="4"/>
  <c r="AD71" i="4"/>
  <c r="AC72" i="4"/>
  <c r="AD72" i="4"/>
  <c r="AC73" i="4"/>
  <c r="AD73" i="4"/>
  <c r="AC74" i="4"/>
  <c r="AD74" i="4"/>
  <c r="AC75" i="4"/>
  <c r="AD75" i="4"/>
  <c r="AC76" i="4"/>
  <c r="AD76" i="4"/>
  <c r="AC77" i="4"/>
  <c r="AD77" i="4"/>
  <c r="AC78" i="4"/>
  <c r="AD78" i="4"/>
  <c r="AC79" i="4"/>
  <c r="AD79" i="4"/>
  <c r="AC80" i="4"/>
  <c r="AD80" i="4"/>
  <c r="AC81" i="4"/>
  <c r="AD81" i="4"/>
  <c r="AC82" i="4"/>
  <c r="AD82" i="4"/>
  <c r="AC83" i="4"/>
  <c r="AD83" i="4"/>
  <c r="AC84" i="4"/>
  <c r="AD84" i="4"/>
  <c r="AC85" i="4"/>
  <c r="AD85" i="4"/>
  <c r="AC86" i="4"/>
  <c r="AD86" i="4"/>
  <c r="AC87" i="4"/>
  <c r="AD87" i="4"/>
  <c r="AC88" i="4"/>
  <c r="AD88" i="4"/>
  <c r="AC89" i="4"/>
  <c r="AD89" i="4"/>
  <c r="AC90" i="4"/>
  <c r="AD90" i="4"/>
  <c r="AC91" i="4"/>
  <c r="AD91" i="4"/>
  <c r="AC92" i="4"/>
  <c r="AD92" i="4"/>
  <c r="AC93" i="4"/>
  <c r="AD93" i="4"/>
  <c r="AC94" i="4"/>
  <c r="AD94" i="4"/>
  <c r="AC95" i="4"/>
  <c r="AD95" i="4"/>
  <c r="AC96" i="4"/>
  <c r="AD96" i="4"/>
  <c r="AC97" i="4"/>
  <c r="AD97" i="4"/>
  <c r="AC98" i="4"/>
  <c r="AD98" i="4"/>
  <c r="AC99" i="4"/>
  <c r="AD99" i="4"/>
  <c r="AC100" i="4"/>
  <c r="AD100" i="4"/>
  <c r="AC101" i="4"/>
  <c r="AD101" i="4"/>
  <c r="AC102" i="4"/>
  <c r="AD102" i="4"/>
  <c r="AC103" i="4"/>
  <c r="AD103" i="4"/>
  <c r="AC104" i="4"/>
  <c r="AD104" i="4"/>
  <c r="AC105" i="4"/>
  <c r="AD105" i="4"/>
  <c r="AC106" i="4"/>
  <c r="AD106" i="4"/>
  <c r="AC107" i="4"/>
  <c r="AD107" i="4"/>
  <c r="AC108" i="4"/>
  <c r="AD108" i="4"/>
  <c r="AC110" i="4"/>
  <c r="AD110" i="4"/>
  <c r="AC111" i="4"/>
  <c r="AD111" i="4"/>
  <c r="AC112" i="4"/>
  <c r="AD112" i="4"/>
  <c r="AC113" i="4"/>
  <c r="AD113" i="4"/>
  <c r="AC114" i="4"/>
  <c r="AD114" i="4"/>
  <c r="AC115" i="4"/>
  <c r="AD115" i="4"/>
  <c r="AC116" i="4"/>
  <c r="AD116" i="4"/>
  <c r="AC117" i="4"/>
  <c r="AD117" i="4"/>
  <c r="AC118" i="4"/>
  <c r="AD118" i="4"/>
  <c r="AC119" i="4"/>
  <c r="AD119" i="4"/>
  <c r="AC120" i="4"/>
  <c r="AD120" i="4"/>
  <c r="AC121" i="4"/>
  <c r="AD121" i="4"/>
  <c r="AC122" i="4"/>
  <c r="AD122" i="4"/>
  <c r="AC123" i="4"/>
  <c r="AD123" i="4"/>
  <c r="AC124" i="4"/>
  <c r="AD124" i="4"/>
  <c r="AC125" i="4"/>
  <c r="AD125" i="4"/>
  <c r="AC126" i="4"/>
  <c r="AD126" i="4"/>
  <c r="AC127" i="4"/>
  <c r="AD127" i="4"/>
  <c r="AC128" i="4"/>
  <c r="AD128" i="4"/>
  <c r="AC129" i="4"/>
  <c r="AD129" i="4"/>
  <c r="AC130" i="4"/>
  <c r="AD130" i="4"/>
  <c r="AC131" i="4"/>
  <c r="AD131" i="4"/>
  <c r="AC132" i="4"/>
  <c r="AD132" i="4"/>
  <c r="AC133" i="4"/>
  <c r="AD133" i="4"/>
  <c r="AC134" i="4"/>
  <c r="AD134" i="4"/>
  <c r="AC135" i="4"/>
  <c r="AD135" i="4"/>
  <c r="AC136" i="4"/>
  <c r="AD136" i="4"/>
  <c r="AC137" i="4"/>
  <c r="AD137" i="4"/>
  <c r="AC138" i="4"/>
  <c r="AD138" i="4"/>
  <c r="AC139" i="4"/>
  <c r="AD139" i="4"/>
  <c r="AC140" i="4"/>
  <c r="AD140" i="4"/>
  <c r="AC141" i="4"/>
  <c r="AD141" i="4"/>
  <c r="AC142" i="4"/>
  <c r="AD142" i="4"/>
  <c r="AC143" i="4"/>
  <c r="AD143" i="4"/>
  <c r="AC144" i="4"/>
  <c r="AD144" i="4"/>
  <c r="AC145" i="4"/>
  <c r="AD145" i="4"/>
  <c r="AC146" i="4"/>
  <c r="AD146" i="4"/>
  <c r="AC147" i="4"/>
  <c r="AD147" i="4"/>
  <c r="AC148" i="4"/>
  <c r="AD148" i="4"/>
  <c r="AC149" i="4"/>
  <c r="AD149" i="4"/>
  <c r="AC150" i="4"/>
  <c r="AD150" i="4"/>
  <c r="AC151" i="4"/>
  <c r="AD151" i="4"/>
  <c r="AC152" i="4"/>
  <c r="AD152" i="4"/>
  <c r="AC153" i="4"/>
  <c r="AD153" i="4"/>
  <c r="AC154" i="4"/>
  <c r="AD154" i="4"/>
  <c r="AC155" i="4"/>
  <c r="AD155" i="4"/>
  <c r="AC156" i="4"/>
  <c r="AD156" i="4"/>
  <c r="AC157" i="4"/>
  <c r="AD157" i="4"/>
  <c r="AC158" i="4"/>
  <c r="AD158" i="4"/>
  <c r="AC159" i="4"/>
  <c r="AD159" i="4"/>
  <c r="AC160" i="4"/>
  <c r="AD160" i="4"/>
  <c r="AC161" i="4"/>
  <c r="AD161" i="4"/>
  <c r="AC162" i="4"/>
  <c r="AD162" i="4"/>
  <c r="AC163" i="4"/>
  <c r="AD163" i="4"/>
  <c r="AC164" i="4"/>
  <c r="AD164" i="4"/>
  <c r="AC165" i="4"/>
  <c r="AD165" i="4"/>
  <c r="AC166" i="4"/>
  <c r="AD166" i="4"/>
  <c r="AC167" i="4"/>
  <c r="AD167" i="4"/>
  <c r="AC168" i="4"/>
  <c r="AD168" i="4"/>
  <c r="AC169" i="4"/>
  <c r="AD169" i="4"/>
  <c r="AC170" i="4"/>
  <c r="AD170" i="4"/>
  <c r="AC171" i="4"/>
  <c r="AD171" i="4"/>
  <c r="AC172" i="4"/>
  <c r="AD172" i="4"/>
  <c r="AC173" i="4"/>
  <c r="AD173" i="4"/>
  <c r="AC174" i="4"/>
  <c r="AD174" i="4"/>
  <c r="AC175" i="4"/>
  <c r="AD175" i="4"/>
  <c r="AC176" i="4"/>
  <c r="AD176" i="4"/>
  <c r="AC177" i="4"/>
  <c r="AD177" i="4"/>
  <c r="AC178" i="4"/>
  <c r="AD178" i="4"/>
  <c r="AC179" i="4"/>
  <c r="AD179" i="4"/>
  <c r="AC180" i="4"/>
  <c r="AD180" i="4"/>
  <c r="AC181" i="4"/>
  <c r="AD181" i="4"/>
  <c r="AC182" i="4"/>
  <c r="AD182" i="4"/>
  <c r="AC183" i="4"/>
  <c r="AD183" i="4"/>
  <c r="AC184" i="4"/>
  <c r="AD184" i="4"/>
  <c r="AC185" i="4"/>
  <c r="AD185" i="4"/>
  <c r="AC186" i="4"/>
  <c r="AD186" i="4"/>
  <c r="AC187" i="4"/>
  <c r="AD187" i="4"/>
  <c r="AC188" i="4"/>
  <c r="AD188" i="4"/>
  <c r="AJ4" i="4" l="1"/>
  <c r="AJ138" i="4" l="1"/>
  <c r="AJ143" i="4"/>
  <c r="AJ140" i="4"/>
  <c r="AJ139" i="4"/>
  <c r="AJ137" i="4"/>
  <c r="AJ142" i="4"/>
  <c r="AJ144" i="4"/>
  <c r="AJ136" i="4"/>
  <c r="AJ141" i="4"/>
  <c r="AJ135" i="4"/>
  <c r="AJ134" i="4"/>
  <c r="AJ70" i="4"/>
  <c r="AJ78" i="4"/>
  <c r="AJ10" i="4"/>
  <c r="AJ14" i="4"/>
  <c r="AJ18" i="4"/>
  <c r="AJ22" i="4"/>
  <c r="AJ26" i="4"/>
  <c r="AJ30" i="4"/>
  <c r="AJ34" i="4"/>
  <c r="AJ38" i="4"/>
  <c r="AJ42" i="4"/>
  <c r="AJ46" i="4"/>
  <c r="AJ50" i="4"/>
  <c r="AJ54" i="4"/>
  <c r="AJ58" i="4"/>
  <c r="AJ62" i="4"/>
  <c r="AJ66" i="4"/>
  <c r="AJ74" i="4"/>
  <c r="AJ82" i="4"/>
  <c r="AJ25" i="4"/>
  <c r="AJ28" i="4"/>
  <c r="AJ31" i="4"/>
  <c r="AJ57" i="4"/>
  <c r="AJ60" i="4"/>
  <c r="AJ63" i="4"/>
  <c r="AJ90" i="4"/>
  <c r="AJ94" i="4"/>
  <c r="AJ98" i="4"/>
  <c r="AJ105" i="4"/>
  <c r="AJ109" i="4"/>
  <c r="AJ113" i="4"/>
  <c r="AJ117" i="4"/>
  <c r="AJ121" i="4"/>
  <c r="AJ125" i="4"/>
  <c r="AJ129" i="4"/>
  <c r="AJ133" i="4"/>
  <c r="AJ85" i="4"/>
  <c r="AJ96" i="4"/>
  <c r="AJ127" i="4"/>
  <c r="AJ118" i="4"/>
  <c r="AJ13" i="4"/>
  <c r="AJ16" i="4"/>
  <c r="AJ19" i="4"/>
  <c r="AJ45" i="4"/>
  <c r="AJ48" i="4"/>
  <c r="AJ51" i="4"/>
  <c r="AJ77" i="4"/>
  <c r="AJ80" i="4"/>
  <c r="AJ83" i="4"/>
  <c r="AJ86" i="4"/>
  <c r="AJ120" i="4"/>
  <c r="AJ132" i="4"/>
  <c r="AJ21" i="4"/>
  <c r="AJ53" i="4"/>
  <c r="AJ59" i="4"/>
  <c r="AJ92" i="4"/>
  <c r="AJ111" i="4"/>
  <c r="AJ102" i="4"/>
  <c r="AJ5" i="4"/>
  <c r="AJ7" i="4"/>
  <c r="AJ33" i="4"/>
  <c r="AJ36" i="4"/>
  <c r="AJ39" i="4"/>
  <c r="AJ65" i="4"/>
  <c r="AJ68" i="4"/>
  <c r="AJ71" i="4"/>
  <c r="AJ89" i="4"/>
  <c r="AJ93" i="4"/>
  <c r="AJ97" i="4"/>
  <c r="AJ101" i="4"/>
  <c r="AJ104" i="4"/>
  <c r="AJ108" i="4"/>
  <c r="AJ112" i="4"/>
  <c r="AJ116" i="4"/>
  <c r="AJ124" i="4"/>
  <c r="AJ128" i="4"/>
  <c r="AJ56" i="4"/>
  <c r="AJ76" i="4"/>
  <c r="AJ88" i="4"/>
  <c r="AJ107" i="4"/>
  <c r="AJ115" i="4"/>
  <c r="AJ123" i="4"/>
  <c r="AJ24" i="4"/>
  <c r="AJ27" i="4"/>
  <c r="AJ119" i="4"/>
  <c r="AJ131" i="4"/>
  <c r="AJ110" i="4"/>
  <c r="AJ9" i="4"/>
  <c r="AJ12" i="4"/>
  <c r="AJ15" i="4"/>
  <c r="AJ41" i="4"/>
  <c r="AJ44" i="4"/>
  <c r="AJ47" i="4"/>
  <c r="AJ73" i="4"/>
  <c r="AJ79" i="4"/>
  <c r="AJ103" i="4"/>
  <c r="AJ99" i="4"/>
  <c r="AJ106" i="4"/>
  <c r="AJ122" i="4"/>
  <c r="AJ130" i="4"/>
  <c r="AJ29" i="4"/>
  <c r="AJ32" i="4"/>
  <c r="AJ35" i="4"/>
  <c r="AJ61" i="4"/>
  <c r="AJ64" i="4"/>
  <c r="AJ67" i="4"/>
  <c r="AJ95" i="4"/>
  <c r="AJ114" i="4"/>
  <c r="AJ126" i="4"/>
  <c r="AJ17" i="4"/>
  <c r="AJ20" i="4"/>
  <c r="AJ23" i="4"/>
  <c r="AJ49" i="4"/>
  <c r="AJ52" i="4"/>
  <c r="AJ55" i="4"/>
  <c r="AJ81" i="4"/>
  <c r="AJ84" i="4"/>
  <c r="AJ91" i="4"/>
  <c r="AJ6" i="4"/>
  <c r="AJ8" i="4"/>
  <c r="AJ11" i="4"/>
  <c r="AJ37" i="4"/>
  <c r="AJ40" i="4"/>
  <c r="AJ43" i="4"/>
  <c r="AJ69" i="4"/>
  <c r="AJ72" i="4"/>
  <c r="AJ75" i="4"/>
  <c r="AJ87" i="4"/>
  <c r="AJ100" i="4"/>
  <c r="AH4" i="4"/>
  <c r="AH139" i="4" l="1"/>
  <c r="AH138" i="4"/>
  <c r="AH137" i="4"/>
  <c r="AH142" i="4"/>
  <c r="AH143" i="4"/>
  <c r="AH136" i="4"/>
  <c r="AH141" i="4"/>
  <c r="AH144" i="4"/>
  <c r="AH140" i="4"/>
  <c r="AH135" i="4"/>
  <c r="AH134" i="4"/>
  <c r="AH65" i="4"/>
  <c r="AH73" i="4"/>
  <c r="AH81" i="4"/>
  <c r="AH6" i="4"/>
  <c r="AH9" i="4"/>
  <c r="AH13" i="4"/>
  <c r="AH17" i="4"/>
  <c r="AH21" i="4"/>
  <c r="AH25" i="4"/>
  <c r="AH29" i="4"/>
  <c r="AH33" i="4"/>
  <c r="AH37" i="4"/>
  <c r="AH41" i="4"/>
  <c r="AH45" i="4"/>
  <c r="AH49" i="4"/>
  <c r="AH53" i="4"/>
  <c r="AH57" i="4"/>
  <c r="AH61" i="4"/>
  <c r="AH69" i="4"/>
  <c r="AH77" i="4"/>
  <c r="AH85" i="4"/>
  <c r="AH5" i="4"/>
  <c r="AH7" i="4"/>
  <c r="AH10" i="4"/>
  <c r="AH36" i="4"/>
  <c r="AH39" i="4"/>
  <c r="AH42" i="4"/>
  <c r="AH68" i="4"/>
  <c r="AH71" i="4"/>
  <c r="AH74" i="4"/>
  <c r="AH89" i="4"/>
  <c r="AH93" i="4"/>
  <c r="AH97" i="4"/>
  <c r="AH101" i="4"/>
  <c r="AH104" i="4"/>
  <c r="AH108" i="4"/>
  <c r="AH112" i="4"/>
  <c r="AH116" i="4"/>
  <c r="AH120" i="4"/>
  <c r="AH124" i="4"/>
  <c r="AH128" i="4"/>
  <c r="AH132" i="4"/>
  <c r="AH35" i="4"/>
  <c r="AH70" i="4"/>
  <c r="AH102" i="4"/>
  <c r="AH109" i="4"/>
  <c r="AH129" i="4"/>
  <c r="AH24" i="4"/>
  <c r="AH27" i="4"/>
  <c r="AH30" i="4"/>
  <c r="AH56" i="4"/>
  <c r="AH59" i="4"/>
  <c r="AH62" i="4"/>
  <c r="AH107" i="4"/>
  <c r="AH111" i="4"/>
  <c r="AH115" i="4"/>
  <c r="AH123" i="4"/>
  <c r="AH67" i="4"/>
  <c r="AH84" i="4"/>
  <c r="AH118" i="4"/>
  <c r="AH12" i="4"/>
  <c r="AH15" i="4"/>
  <c r="AH18" i="4"/>
  <c r="AH44" i="4"/>
  <c r="AH47" i="4"/>
  <c r="AH50" i="4"/>
  <c r="AH76" i="4"/>
  <c r="AH79" i="4"/>
  <c r="AH82" i="4"/>
  <c r="AH88" i="4"/>
  <c r="AH92" i="4"/>
  <c r="AH96" i="4"/>
  <c r="AH100" i="4"/>
  <c r="AH103" i="4"/>
  <c r="AH119" i="4"/>
  <c r="AH127" i="4"/>
  <c r="AH131" i="4"/>
  <c r="AH32" i="4"/>
  <c r="AH38" i="4"/>
  <c r="AH64" i="4"/>
  <c r="AH95" i="4"/>
  <c r="AH130" i="4"/>
  <c r="AH98" i="4"/>
  <c r="AH99" i="4"/>
  <c r="AH110" i="4"/>
  <c r="AH20" i="4"/>
  <c r="AH23" i="4"/>
  <c r="AH26" i="4"/>
  <c r="AH52" i="4"/>
  <c r="AH55" i="4"/>
  <c r="AH58" i="4"/>
  <c r="AH91" i="4"/>
  <c r="AH126" i="4"/>
  <c r="AH113" i="4"/>
  <c r="AH8" i="4"/>
  <c r="AH11" i="4"/>
  <c r="AH14" i="4"/>
  <c r="AH40" i="4"/>
  <c r="AH43" i="4"/>
  <c r="AH46" i="4"/>
  <c r="AH72" i="4"/>
  <c r="AH75" i="4"/>
  <c r="AH78" i="4"/>
  <c r="AH87" i="4"/>
  <c r="AH105" i="4"/>
  <c r="AH28" i="4"/>
  <c r="AH31" i="4"/>
  <c r="AH34" i="4"/>
  <c r="AH60" i="4"/>
  <c r="AH63" i="4"/>
  <c r="AH66" i="4"/>
  <c r="AH90" i="4"/>
  <c r="AH94" i="4"/>
  <c r="AH121" i="4"/>
  <c r="AH16" i="4"/>
  <c r="AH19" i="4"/>
  <c r="AH22" i="4"/>
  <c r="AH48" i="4"/>
  <c r="AH51" i="4"/>
  <c r="AH54" i="4"/>
  <c r="AH80" i="4"/>
  <c r="AH83" i="4"/>
  <c r="AH86" i="4"/>
  <c r="AH106" i="4"/>
  <c r="AH114" i="4"/>
  <c r="AH122" i="4"/>
  <c r="AH117" i="4"/>
  <c r="AH125" i="4"/>
  <c r="AH133" i="4"/>
  <c r="AC189" i="4" l="1"/>
  <c r="AD189" i="4"/>
  <c r="AC190" i="4"/>
  <c r="AD190" i="4"/>
  <c r="AC191" i="4"/>
  <c r="AD191" i="4"/>
  <c r="AC192" i="4"/>
  <c r="AD192" i="4"/>
  <c r="AC193" i="4"/>
  <c r="AD193" i="4"/>
  <c r="AC194" i="4"/>
  <c r="AD194" i="4"/>
  <c r="AC195" i="4"/>
  <c r="AD195" i="4"/>
  <c r="AC196" i="4"/>
  <c r="AD196" i="4"/>
  <c r="AC197" i="4"/>
  <c r="AD197" i="4"/>
  <c r="AC198" i="4"/>
  <c r="AD198" i="4"/>
  <c r="AC199" i="4"/>
  <c r="AD199" i="4"/>
  <c r="AC200" i="4"/>
  <c r="AD200" i="4"/>
  <c r="AC201" i="4"/>
  <c r="AD201" i="4"/>
  <c r="AC202" i="4"/>
  <c r="AD202" i="4"/>
  <c r="AC203" i="4"/>
  <c r="AD203" i="4"/>
  <c r="AC204" i="4"/>
  <c r="AD204" i="4"/>
  <c r="AC205" i="4"/>
  <c r="AD205" i="4"/>
  <c r="AC206" i="4"/>
  <c r="AD206" i="4"/>
  <c r="AC207" i="4"/>
  <c r="AD207" i="4"/>
  <c r="AC208" i="4"/>
  <c r="AD208" i="4"/>
  <c r="AC209" i="4"/>
  <c r="AD209" i="4"/>
  <c r="AC210" i="4"/>
  <c r="AD210" i="4"/>
  <c r="AC211" i="4"/>
  <c r="AD211" i="4"/>
  <c r="AC212" i="4"/>
  <c r="AD212" i="4"/>
  <c r="AC213" i="4"/>
  <c r="AD213" i="4"/>
  <c r="AC214" i="4"/>
  <c r="AD214" i="4"/>
  <c r="AC215" i="4"/>
  <c r="AD215" i="4"/>
  <c r="AC216" i="4"/>
  <c r="AD216" i="4"/>
  <c r="AC217" i="4"/>
  <c r="AD217" i="4"/>
  <c r="AC218" i="4"/>
  <c r="AD218" i="4"/>
  <c r="AC219" i="4"/>
  <c r="AD219" i="4"/>
  <c r="AC220" i="4"/>
  <c r="AD220" i="4"/>
  <c r="AC221" i="4"/>
  <c r="AD221" i="4"/>
  <c r="AC222" i="4"/>
  <c r="AD222" i="4"/>
  <c r="AC223" i="4"/>
  <c r="AD223" i="4"/>
  <c r="AC224" i="4"/>
  <c r="AD224" i="4"/>
  <c r="AC225" i="4"/>
  <c r="AD225" i="4"/>
  <c r="AC226" i="4"/>
  <c r="AD226" i="4"/>
  <c r="AC227" i="4"/>
  <c r="AD227" i="4"/>
  <c r="AC228" i="4"/>
  <c r="AD228" i="4"/>
  <c r="AC229" i="4"/>
  <c r="AD229" i="4"/>
  <c r="AC230" i="4"/>
  <c r="AD230" i="4"/>
  <c r="AC231" i="4"/>
  <c r="AD231" i="4"/>
  <c r="AC232" i="4"/>
  <c r="AD232" i="4"/>
  <c r="AC233" i="4"/>
  <c r="AD233" i="4"/>
  <c r="AC234" i="4"/>
  <c r="AD234" i="4"/>
  <c r="AC235" i="4"/>
  <c r="AD235" i="4"/>
  <c r="AC236" i="4"/>
  <c r="AD236" i="4"/>
  <c r="AC237" i="4"/>
  <c r="AD237" i="4"/>
  <c r="AC238" i="4"/>
  <c r="AD238" i="4"/>
  <c r="AC239" i="4"/>
  <c r="AD239" i="4"/>
  <c r="AC240" i="4"/>
  <c r="AD240" i="4"/>
  <c r="AC241" i="4"/>
  <c r="AD241" i="4"/>
  <c r="AC242" i="4"/>
  <c r="AD242" i="4"/>
  <c r="AC243" i="4"/>
  <c r="AD243" i="4"/>
  <c r="AC244" i="4"/>
  <c r="AD244" i="4"/>
  <c r="AC245" i="4"/>
  <c r="AD245" i="4"/>
  <c r="AC246" i="4"/>
  <c r="AD246" i="4"/>
  <c r="AC247" i="4"/>
  <c r="AD247" i="4"/>
  <c r="AC248" i="4"/>
  <c r="AD248" i="4"/>
  <c r="AC249" i="4"/>
  <c r="AD249" i="4"/>
  <c r="AC250" i="4"/>
  <c r="AD250" i="4"/>
  <c r="AC251" i="4"/>
  <c r="AD251" i="4"/>
  <c r="AC252" i="4"/>
  <c r="AD252" i="4"/>
  <c r="AC253" i="4"/>
  <c r="AD253" i="4"/>
  <c r="AC254" i="4"/>
  <c r="AD254" i="4"/>
  <c r="AC255" i="4"/>
  <c r="AD255" i="4"/>
  <c r="AC256" i="4"/>
  <c r="AD256" i="4"/>
  <c r="AC257" i="4"/>
  <c r="AD257" i="4"/>
  <c r="AC258" i="4"/>
  <c r="AD258" i="4"/>
  <c r="AC259" i="4"/>
  <c r="AD259" i="4"/>
  <c r="AC260" i="4"/>
  <c r="AD260" i="4"/>
  <c r="AC261" i="4"/>
  <c r="AD261" i="4"/>
  <c r="AC262" i="4"/>
  <c r="AD262" i="4"/>
  <c r="AC263" i="4"/>
  <c r="AD263" i="4"/>
  <c r="AC264" i="4"/>
  <c r="AD264" i="4"/>
  <c r="AC265" i="4"/>
  <c r="AD265" i="4"/>
  <c r="AC266" i="4"/>
  <c r="AD266" i="4"/>
  <c r="AC267" i="4"/>
  <c r="AD267" i="4"/>
  <c r="AC268" i="4"/>
  <c r="AD268" i="4"/>
  <c r="AC269" i="4"/>
  <c r="AD269" i="4"/>
  <c r="AC270" i="4"/>
  <c r="AD270" i="4"/>
  <c r="AC271" i="4"/>
  <c r="AD271" i="4"/>
  <c r="AC272" i="4"/>
  <c r="AD272" i="4"/>
  <c r="AC273" i="4"/>
  <c r="AD273" i="4"/>
  <c r="AC274" i="4"/>
  <c r="AD274" i="4"/>
  <c r="AC275" i="4"/>
  <c r="AD275" i="4"/>
  <c r="AC276" i="4"/>
  <c r="AD276" i="4"/>
  <c r="AC277" i="4"/>
  <c r="AD277" i="4"/>
  <c r="AC278" i="4"/>
  <c r="AD278" i="4"/>
  <c r="AC279" i="4"/>
  <c r="AD279" i="4"/>
  <c r="AC280" i="4"/>
  <c r="AD280" i="4"/>
  <c r="AC281" i="4"/>
  <c r="AD281" i="4"/>
  <c r="AC282" i="4"/>
  <c r="AD282" i="4"/>
  <c r="AC283" i="4"/>
  <c r="AD283" i="4"/>
  <c r="AC284" i="4"/>
  <c r="AD284" i="4"/>
  <c r="AC285" i="4"/>
  <c r="AD285" i="4"/>
  <c r="AC286" i="4"/>
  <c r="AD286" i="4"/>
  <c r="AC287" i="4"/>
  <c r="AD287" i="4"/>
  <c r="AC288" i="4"/>
  <c r="AD288" i="4"/>
  <c r="AC289" i="4"/>
  <c r="AD289" i="4"/>
  <c r="AC290" i="4"/>
  <c r="AD290" i="4"/>
  <c r="AC291" i="4"/>
  <c r="AD291" i="4"/>
  <c r="AC292" i="4"/>
  <c r="AD292" i="4"/>
  <c r="AC293" i="4"/>
  <c r="AD293" i="4"/>
  <c r="AC294" i="4"/>
  <c r="AD294" i="4"/>
  <c r="AC295" i="4"/>
  <c r="AD295" i="4"/>
  <c r="AC296" i="4"/>
  <c r="AD296" i="4"/>
  <c r="AC29" i="4"/>
  <c r="AD29" i="4"/>
  <c r="AC30" i="4"/>
  <c r="AD30" i="4"/>
  <c r="AC31" i="4"/>
  <c r="AD31" i="4"/>
  <c r="AC32" i="4"/>
  <c r="AD32" i="4"/>
  <c r="AC33" i="4"/>
  <c r="AD33" i="4"/>
  <c r="AC34" i="4"/>
  <c r="AD34" i="4"/>
  <c r="AC35" i="4"/>
  <c r="AD35" i="4"/>
  <c r="AC36" i="4"/>
  <c r="AD36" i="4"/>
  <c r="AC37" i="4"/>
  <c r="AD37" i="4"/>
  <c r="AC38" i="4"/>
  <c r="AD38" i="4"/>
  <c r="AC39" i="4"/>
  <c r="AD39" i="4"/>
  <c r="AC40" i="4"/>
  <c r="AD40" i="4"/>
  <c r="AC41" i="4"/>
  <c r="AD41" i="4"/>
  <c r="AC42" i="4"/>
  <c r="AD42" i="4"/>
  <c r="AC43" i="4"/>
  <c r="AD43" i="4"/>
  <c r="AC46" i="4"/>
  <c r="AD46" i="4"/>
  <c r="AC47" i="4"/>
  <c r="AD47" i="4"/>
  <c r="AC48" i="4"/>
  <c r="AD48" i="4"/>
  <c r="AF28" i="4" l="1"/>
  <c r="AF60" i="4"/>
  <c r="AF68" i="4"/>
  <c r="AF76" i="4"/>
  <c r="AF84" i="4"/>
  <c r="AF88" i="4"/>
  <c r="AF5" i="4"/>
  <c r="AF8" i="4"/>
  <c r="AF12" i="4"/>
  <c r="AF16" i="4"/>
  <c r="AF20" i="4"/>
  <c r="AF24" i="4"/>
  <c r="AF32" i="4"/>
  <c r="AF36" i="4"/>
  <c r="AF40" i="4"/>
  <c r="AF44" i="4"/>
  <c r="AF48" i="4"/>
  <c r="AF52" i="4"/>
  <c r="AF56" i="4"/>
  <c r="AF64" i="4"/>
  <c r="AF72" i="4"/>
  <c r="AF80" i="4"/>
  <c r="AF15" i="4"/>
  <c r="AF18" i="4"/>
  <c r="AF21" i="4"/>
  <c r="AF47" i="4"/>
  <c r="AF50" i="4"/>
  <c r="AF53" i="4"/>
  <c r="AF79" i="4"/>
  <c r="AF82" i="4"/>
  <c r="AF85" i="4"/>
  <c r="AF92" i="4"/>
  <c r="AF96" i="4"/>
  <c r="AF100" i="4"/>
  <c r="AF103" i="4"/>
  <c r="AF107" i="4"/>
  <c r="AF111" i="4"/>
  <c r="AF115" i="4"/>
  <c r="AF119" i="4"/>
  <c r="AF123" i="4"/>
  <c r="AF127" i="4"/>
  <c r="AF131" i="4"/>
  <c r="AF43" i="4"/>
  <c r="AF49" i="4"/>
  <c r="AF78" i="4"/>
  <c r="AF69" i="4"/>
  <c r="AF90" i="4"/>
  <c r="AF109" i="4"/>
  <c r="AF117" i="4"/>
  <c r="AF121" i="4"/>
  <c r="AF97" i="4"/>
  <c r="AF9" i="4"/>
  <c r="AF35" i="4"/>
  <c r="AF38" i="4"/>
  <c r="AF41" i="4"/>
  <c r="AF67" i="4"/>
  <c r="AF70" i="4"/>
  <c r="AF73" i="4"/>
  <c r="AF114" i="4"/>
  <c r="AF118" i="4"/>
  <c r="AF126" i="4"/>
  <c r="AF130" i="4"/>
  <c r="AF46" i="4"/>
  <c r="AF75" i="4"/>
  <c r="AF66" i="4"/>
  <c r="AF98" i="4"/>
  <c r="AF105" i="4"/>
  <c r="AF125" i="4"/>
  <c r="AF133" i="4"/>
  <c r="AF116" i="4"/>
  <c r="AF128" i="4"/>
  <c r="AF23" i="4"/>
  <c r="AF26" i="4"/>
  <c r="AF29" i="4"/>
  <c r="AF55" i="4"/>
  <c r="AF58" i="4"/>
  <c r="AF61" i="4"/>
  <c r="AF91" i="4"/>
  <c r="AF95" i="4"/>
  <c r="AF99" i="4"/>
  <c r="AF102" i="4"/>
  <c r="AF106" i="4"/>
  <c r="AF110" i="4"/>
  <c r="AF122" i="4"/>
  <c r="AF81" i="4"/>
  <c r="AF87" i="4"/>
  <c r="AF112" i="4"/>
  <c r="AF124" i="4"/>
  <c r="AF11" i="4"/>
  <c r="AF14" i="4"/>
  <c r="AF17" i="4"/>
  <c r="AF120" i="4"/>
  <c r="AF132" i="4"/>
  <c r="AF6" i="4"/>
  <c r="AF31" i="4"/>
  <c r="AF34" i="4"/>
  <c r="AF37" i="4"/>
  <c r="AF63" i="4"/>
  <c r="AF113" i="4"/>
  <c r="AF19" i="4"/>
  <c r="AF22" i="4"/>
  <c r="AF25" i="4"/>
  <c r="AF51" i="4"/>
  <c r="AF54" i="4"/>
  <c r="AF57" i="4"/>
  <c r="AF83" i="4"/>
  <c r="AF86" i="4"/>
  <c r="AF7" i="4"/>
  <c r="AF10" i="4"/>
  <c r="AF13" i="4"/>
  <c r="AF39" i="4"/>
  <c r="AF42" i="4"/>
  <c r="AF45" i="4"/>
  <c r="AF71" i="4"/>
  <c r="AF74" i="4"/>
  <c r="AF77" i="4"/>
  <c r="AF89" i="4"/>
  <c r="AF93" i="4"/>
  <c r="AF101" i="4"/>
  <c r="AF108" i="4"/>
  <c r="AF27" i="4"/>
  <c r="AF30" i="4"/>
  <c r="AF33" i="4"/>
  <c r="AF59" i="4"/>
  <c r="AF62" i="4"/>
  <c r="AF65" i="4"/>
  <c r="AF94" i="4"/>
  <c r="AF129" i="4"/>
  <c r="AF104" i="4"/>
  <c r="AC7" i="4"/>
  <c r="AD7" i="4"/>
  <c r="AC8" i="4"/>
  <c r="AD8" i="4"/>
  <c r="AC9" i="4"/>
  <c r="AD9" i="4"/>
  <c r="AC10" i="4"/>
  <c r="AD10" i="4"/>
  <c r="AC11" i="4"/>
  <c r="AD11" i="4"/>
  <c r="AC12" i="4"/>
  <c r="AD12" i="4"/>
  <c r="AC13" i="4"/>
  <c r="AD13" i="4"/>
  <c r="AC14" i="4"/>
  <c r="AD14" i="4"/>
  <c r="AC15" i="4"/>
  <c r="AD15" i="4"/>
  <c r="AC16" i="4"/>
  <c r="AD16" i="4"/>
  <c r="AC17" i="4"/>
  <c r="AD17" i="4"/>
  <c r="AC18" i="4"/>
  <c r="AD18" i="4"/>
  <c r="AC19" i="4"/>
  <c r="AD19" i="4"/>
  <c r="AC20" i="4"/>
  <c r="AD20" i="4"/>
  <c r="AC21" i="4"/>
  <c r="AD21" i="4"/>
  <c r="AC22" i="4"/>
  <c r="AD22" i="4"/>
  <c r="AC23" i="4"/>
  <c r="AD23" i="4"/>
  <c r="AC24" i="4"/>
  <c r="AD24" i="4"/>
  <c r="AC25" i="4"/>
  <c r="AD25" i="4"/>
  <c r="AC26" i="4"/>
  <c r="AD26" i="4"/>
  <c r="AC27" i="4"/>
  <c r="AD27" i="4"/>
  <c r="AC28" i="4"/>
  <c r="AD28" i="4"/>
  <c r="AC5" i="4"/>
  <c r="AD5" i="4"/>
  <c r="AC6" i="4"/>
  <c r="AD6" i="4"/>
  <c r="AA2" i="4"/>
  <c r="R4" i="1" s="1"/>
  <c r="I2" i="4"/>
  <c r="F4" i="1" s="1"/>
  <c r="J2" i="4"/>
  <c r="F6" i="1" s="1"/>
  <c r="F8" i="1" s="1"/>
  <c r="K2" i="4"/>
  <c r="H4" i="1" s="1"/>
  <c r="L2" i="4"/>
  <c r="H6" i="1" s="1"/>
  <c r="H8" i="1" s="1"/>
  <c r="M2" i="4"/>
  <c r="I4" i="1" s="1"/>
  <c r="N2" i="4"/>
  <c r="I6" i="1" s="1"/>
  <c r="O2" i="4"/>
  <c r="J4" i="1" s="1"/>
  <c r="P2" i="4"/>
  <c r="J6" i="1" s="1"/>
  <c r="J8" i="1" s="1"/>
  <c r="Q2" i="4"/>
  <c r="L4" i="1" s="1"/>
  <c r="R2" i="4"/>
  <c r="L6" i="1" s="1"/>
  <c r="L8" i="1" s="1"/>
  <c r="S2" i="4"/>
  <c r="M4" i="1" s="1"/>
  <c r="T2" i="4"/>
  <c r="M6" i="1" s="1"/>
  <c r="M8" i="1" s="1"/>
  <c r="U2" i="4"/>
  <c r="N4" i="1" s="1"/>
  <c r="V2" i="4"/>
  <c r="N6" i="1" s="1"/>
  <c r="W2" i="4"/>
  <c r="P4" i="1" s="1"/>
  <c r="X2" i="4"/>
  <c r="P6" i="1" s="1"/>
  <c r="Y2" i="4"/>
  <c r="Q4" i="1" s="1"/>
  <c r="Z2" i="4"/>
  <c r="Q6" i="1" s="1"/>
  <c r="Q8" i="1" s="1"/>
  <c r="AB2" i="4"/>
  <c r="R6" i="1" s="1"/>
  <c r="R8" i="1" s="1"/>
  <c r="G2" i="4"/>
  <c r="E4" i="1" s="1"/>
  <c r="H2" i="4"/>
  <c r="E6" i="1" s="1"/>
  <c r="E8" i="1" s="1"/>
  <c r="F2" i="4"/>
  <c r="D6" i="1" s="1"/>
  <c r="C8" i="1"/>
  <c r="AI192" i="6"/>
  <c r="AH192" i="6"/>
  <c r="AI191" i="6"/>
  <c r="AH191" i="6"/>
  <c r="AI190" i="6"/>
  <c r="AH190" i="6"/>
  <c r="AI189" i="6"/>
  <c r="AH189" i="6"/>
  <c r="AI188" i="6"/>
  <c r="AH188" i="6"/>
  <c r="AI187" i="6"/>
  <c r="AH187" i="6"/>
  <c r="AI186" i="6"/>
  <c r="AH186" i="6"/>
  <c r="AI185" i="6"/>
  <c r="AH185" i="6"/>
  <c r="AI184" i="6"/>
  <c r="AH184" i="6"/>
  <c r="AI183" i="6"/>
  <c r="AH183" i="6"/>
  <c r="AI182" i="6"/>
  <c r="AH182" i="6"/>
  <c r="AI181" i="6"/>
  <c r="AH181" i="6"/>
  <c r="AI180" i="6"/>
  <c r="AH180" i="6"/>
  <c r="AI179" i="6"/>
  <c r="AH179" i="6"/>
  <c r="AI178" i="6"/>
  <c r="AH178" i="6"/>
  <c r="AI177" i="6"/>
  <c r="AH177" i="6"/>
  <c r="AI176" i="6"/>
  <c r="AH176" i="6"/>
  <c r="AI175" i="6"/>
  <c r="AH175" i="6"/>
  <c r="AI174" i="6"/>
  <c r="AH174" i="6"/>
  <c r="AI173" i="6"/>
  <c r="AH173" i="6"/>
  <c r="AI172" i="6"/>
  <c r="AH172" i="6"/>
  <c r="AI171" i="6"/>
  <c r="AH171" i="6"/>
  <c r="AI170" i="6"/>
  <c r="AH170" i="6"/>
  <c r="AI169" i="6"/>
  <c r="AH169" i="6"/>
  <c r="AI168" i="6"/>
  <c r="AH168" i="6"/>
  <c r="AI167" i="6"/>
  <c r="AH167" i="6"/>
  <c r="AI166" i="6"/>
  <c r="AH166" i="6"/>
  <c r="AI165" i="6"/>
  <c r="AH165" i="6"/>
  <c r="AI164" i="6"/>
  <c r="AH164" i="6"/>
  <c r="AI163" i="6"/>
  <c r="AH163" i="6"/>
  <c r="AI162" i="6"/>
  <c r="AH162" i="6"/>
  <c r="AI161" i="6"/>
  <c r="AH161" i="6"/>
  <c r="AI160" i="6"/>
  <c r="AH160" i="6"/>
  <c r="AI159" i="6"/>
  <c r="AH159" i="6"/>
  <c r="AI158" i="6"/>
  <c r="AH158" i="6"/>
  <c r="AI157" i="6"/>
  <c r="AH157" i="6"/>
  <c r="AI156" i="6"/>
  <c r="AH156" i="6"/>
  <c r="AI155" i="6"/>
  <c r="AH155" i="6"/>
  <c r="AI154" i="6"/>
  <c r="AH154" i="6"/>
  <c r="AI153" i="6"/>
  <c r="AH153" i="6"/>
  <c r="AI152" i="6"/>
  <c r="AH152" i="6"/>
  <c r="AI151" i="6"/>
  <c r="AH151" i="6"/>
  <c r="AI150" i="6"/>
  <c r="AH150" i="6"/>
  <c r="AI149" i="6"/>
  <c r="AH149" i="6"/>
  <c r="AI148" i="6"/>
  <c r="AH148" i="6"/>
  <c r="AI147" i="6"/>
  <c r="AH147" i="6"/>
  <c r="AI146" i="6"/>
  <c r="AH146" i="6"/>
  <c r="AI145" i="6"/>
  <c r="AH145" i="6"/>
  <c r="AI144" i="6"/>
  <c r="AH144" i="6"/>
  <c r="AI143" i="6"/>
  <c r="AH143" i="6"/>
  <c r="AI142" i="6"/>
  <c r="AH142" i="6"/>
  <c r="AI141" i="6"/>
  <c r="AH141" i="6"/>
  <c r="AI140" i="6"/>
  <c r="AH140" i="6"/>
  <c r="AI139" i="6"/>
  <c r="AH139" i="6"/>
  <c r="AI138" i="6"/>
  <c r="AH138" i="6"/>
  <c r="AI137" i="6"/>
  <c r="AH137" i="6"/>
  <c r="AI136" i="6"/>
  <c r="AH136" i="6"/>
  <c r="AI135" i="6"/>
  <c r="AH135" i="6"/>
  <c r="AI134" i="6"/>
  <c r="AH134" i="6"/>
  <c r="AI133" i="6"/>
  <c r="AH133" i="6"/>
  <c r="AI132" i="6"/>
  <c r="AH132" i="6"/>
  <c r="AI131" i="6"/>
  <c r="AH131" i="6"/>
  <c r="AI130" i="6"/>
  <c r="AH130" i="6"/>
  <c r="AI129" i="6"/>
  <c r="AH129" i="6"/>
  <c r="AI128" i="6"/>
  <c r="AH128" i="6"/>
  <c r="AI127" i="6"/>
  <c r="AH127" i="6"/>
  <c r="AI126" i="6"/>
  <c r="AH126" i="6"/>
  <c r="AI125" i="6"/>
  <c r="AH125" i="6"/>
  <c r="AI124" i="6"/>
  <c r="AH124" i="6"/>
  <c r="AI123" i="6"/>
  <c r="AH123" i="6"/>
  <c r="AI122" i="6"/>
  <c r="AH122" i="6"/>
  <c r="AI121" i="6"/>
  <c r="AH121" i="6"/>
  <c r="AI120" i="6"/>
  <c r="AH120" i="6"/>
  <c r="AI119" i="6"/>
  <c r="AH119" i="6"/>
  <c r="AI118" i="6"/>
  <c r="AH118" i="6"/>
  <c r="AI117" i="6"/>
  <c r="AH117" i="6"/>
  <c r="AI116" i="6"/>
  <c r="AH116" i="6"/>
  <c r="AI115" i="6"/>
  <c r="AH115" i="6"/>
  <c r="AI114" i="6"/>
  <c r="AH114" i="6"/>
  <c r="AI113" i="6"/>
  <c r="AH113" i="6"/>
  <c r="AI112" i="6"/>
  <c r="AH112" i="6"/>
  <c r="AI111" i="6"/>
  <c r="AH111" i="6"/>
  <c r="AI110" i="6"/>
  <c r="AH110" i="6"/>
  <c r="AI109" i="6"/>
  <c r="AH109" i="6"/>
  <c r="AI108" i="6"/>
  <c r="AH108" i="6"/>
  <c r="AI107" i="6"/>
  <c r="AH107" i="6"/>
  <c r="AI106" i="6"/>
  <c r="AH106" i="6"/>
  <c r="AI105" i="6"/>
  <c r="AH105" i="6"/>
  <c r="AI104" i="6"/>
  <c r="AH104" i="6"/>
  <c r="AI103" i="6"/>
  <c r="AH103" i="6"/>
  <c r="AI102" i="6"/>
  <c r="AH102" i="6"/>
  <c r="AI101" i="6"/>
  <c r="AH101" i="6"/>
  <c r="AI100" i="6"/>
  <c r="AH100" i="6"/>
  <c r="AI99" i="6"/>
  <c r="AH99" i="6"/>
  <c r="AI98" i="6"/>
  <c r="AH98" i="6"/>
  <c r="AI97" i="6"/>
  <c r="AH97" i="6"/>
  <c r="AI96" i="6"/>
  <c r="AH96" i="6"/>
  <c r="AI95" i="6"/>
  <c r="AH95" i="6"/>
  <c r="AI94" i="6"/>
  <c r="AH94" i="6"/>
  <c r="AI93" i="6"/>
  <c r="AH93" i="6"/>
  <c r="AI92" i="6"/>
  <c r="AH92" i="6"/>
  <c r="AI91" i="6"/>
  <c r="AH91" i="6"/>
  <c r="AI90" i="6"/>
  <c r="AH90" i="6"/>
  <c r="AI89" i="6"/>
  <c r="AH89" i="6"/>
  <c r="AI88" i="6"/>
  <c r="AH88" i="6"/>
  <c r="AI87" i="6"/>
  <c r="AH87" i="6"/>
  <c r="AI86" i="6"/>
  <c r="AH86" i="6"/>
  <c r="AI85" i="6"/>
  <c r="AH85" i="6"/>
  <c r="AI84" i="6"/>
  <c r="AH84" i="6"/>
  <c r="AI83" i="6"/>
  <c r="AH83" i="6"/>
  <c r="AI82" i="6"/>
  <c r="AH82" i="6"/>
  <c r="AI81" i="6"/>
  <c r="AH81" i="6"/>
  <c r="AI80" i="6"/>
  <c r="AH80" i="6"/>
  <c r="AI79" i="6"/>
  <c r="AH79" i="6"/>
  <c r="AI78" i="6"/>
  <c r="AH78" i="6"/>
  <c r="AI77" i="6"/>
  <c r="AH77" i="6"/>
  <c r="AI76" i="6"/>
  <c r="AH76" i="6"/>
  <c r="AI75" i="6"/>
  <c r="AH75" i="6"/>
  <c r="AI74" i="6"/>
  <c r="AH74" i="6"/>
  <c r="AI73" i="6"/>
  <c r="AH73" i="6"/>
  <c r="AI72" i="6"/>
  <c r="AH72" i="6"/>
  <c r="AI71" i="6"/>
  <c r="AH71" i="6"/>
  <c r="AI70" i="6"/>
  <c r="AH70" i="6"/>
  <c r="AI69" i="6"/>
  <c r="AH69" i="6"/>
  <c r="AI68" i="6"/>
  <c r="AH68" i="6"/>
  <c r="AI67" i="6"/>
  <c r="AH67" i="6"/>
  <c r="AI66" i="6"/>
  <c r="AH66" i="6"/>
  <c r="AI65" i="6"/>
  <c r="AH65" i="6"/>
  <c r="AI64" i="6"/>
  <c r="AH64" i="6"/>
  <c r="AI63" i="6"/>
  <c r="AH63" i="6"/>
  <c r="AI62" i="6"/>
  <c r="AH62" i="6"/>
  <c r="AI61" i="6"/>
  <c r="AH61" i="6"/>
  <c r="AI60" i="6"/>
  <c r="AH60" i="6"/>
  <c r="AI59" i="6"/>
  <c r="AH59" i="6"/>
  <c r="AI58" i="6"/>
  <c r="AH58" i="6"/>
  <c r="AI57" i="6"/>
  <c r="AH57" i="6"/>
  <c r="AI56" i="6"/>
  <c r="AH56" i="6"/>
  <c r="AI55" i="6"/>
  <c r="AH55" i="6"/>
  <c r="AI54" i="6"/>
  <c r="AH54" i="6"/>
  <c r="AI53" i="6"/>
  <c r="AH53" i="6"/>
  <c r="AI52" i="6"/>
  <c r="AH52" i="6"/>
  <c r="AI51" i="6"/>
  <c r="AH51" i="6"/>
  <c r="AI50" i="6"/>
  <c r="AH50" i="6"/>
  <c r="AI49" i="6"/>
  <c r="AH49" i="6"/>
  <c r="AI48" i="6"/>
  <c r="AH48" i="6"/>
  <c r="AI47" i="6"/>
  <c r="AH47" i="6"/>
  <c r="AI46" i="6"/>
  <c r="AH46" i="6"/>
  <c r="AI45" i="6"/>
  <c r="AH45" i="6"/>
  <c r="AI44" i="6"/>
  <c r="AH44" i="6"/>
  <c r="AI43" i="6"/>
  <c r="AH43" i="6"/>
  <c r="AI42" i="6"/>
  <c r="AH42" i="6"/>
  <c r="AI41" i="6"/>
  <c r="AH41" i="6"/>
  <c r="AI40" i="6"/>
  <c r="AH40" i="6"/>
  <c r="AI39" i="6"/>
  <c r="AH39" i="6"/>
  <c r="AI38" i="6"/>
  <c r="AH38" i="6"/>
  <c r="AI37" i="6"/>
  <c r="AH37" i="6"/>
  <c r="AI36" i="6"/>
  <c r="AH36" i="6"/>
  <c r="AI35" i="6"/>
  <c r="AH35" i="6"/>
  <c r="AI34" i="6"/>
  <c r="AH34" i="6"/>
  <c r="AI33" i="6"/>
  <c r="AH33" i="6"/>
  <c r="AI32" i="6"/>
  <c r="AH32" i="6"/>
  <c r="AI31" i="6"/>
  <c r="AH31" i="6"/>
  <c r="AI30" i="6"/>
  <c r="AH30" i="6"/>
  <c r="AI29" i="6"/>
  <c r="AH29" i="6"/>
  <c r="AI28" i="6"/>
  <c r="AH28" i="6"/>
  <c r="AI27" i="6"/>
  <c r="AH27" i="6"/>
  <c r="AI26" i="6"/>
  <c r="AH26" i="6"/>
  <c r="AI25" i="6"/>
  <c r="AH25" i="6"/>
  <c r="AI24" i="6"/>
  <c r="AH24" i="6"/>
  <c r="AI23" i="6"/>
  <c r="AH23" i="6"/>
  <c r="AI22" i="6"/>
  <c r="AH22" i="6"/>
  <c r="AI21" i="6"/>
  <c r="AH21" i="6"/>
  <c r="AI20" i="6"/>
  <c r="AH20" i="6"/>
  <c r="AI19" i="6"/>
  <c r="AH19" i="6"/>
  <c r="AI18" i="6"/>
  <c r="AH18" i="6"/>
  <c r="AI17" i="6"/>
  <c r="AH17" i="6"/>
  <c r="AI16" i="6"/>
  <c r="AH16" i="6"/>
  <c r="AI15" i="6"/>
  <c r="AH15" i="6"/>
  <c r="AI14" i="6"/>
  <c r="AH14" i="6"/>
  <c r="AI13" i="6"/>
  <c r="AH13" i="6"/>
  <c r="AI12" i="6"/>
  <c r="AH12" i="6"/>
  <c r="AI11" i="6"/>
  <c r="AH11" i="6"/>
  <c r="AI10" i="6"/>
  <c r="AH10" i="6"/>
  <c r="AI9" i="6"/>
  <c r="AH9" i="6"/>
  <c r="AI8" i="6"/>
  <c r="AH8" i="6"/>
  <c r="AI7" i="6"/>
  <c r="AH7" i="6"/>
  <c r="AI6" i="6"/>
  <c r="AH6" i="6"/>
  <c r="AI5" i="6"/>
  <c r="AH5" i="6"/>
  <c r="AI4" i="6"/>
  <c r="AH4" i="6"/>
  <c r="AG1" i="6"/>
  <c r="AF1" i="6"/>
  <c r="AE1" i="6"/>
  <c r="AD1" i="6"/>
  <c r="AC1" i="6"/>
  <c r="AB1" i="6"/>
  <c r="AA1" i="6"/>
  <c r="Z1" i="6"/>
  <c r="Y1" i="6"/>
  <c r="X1" i="6"/>
  <c r="W1" i="6"/>
  <c r="V1" i="6"/>
  <c r="U1" i="6"/>
  <c r="T1" i="6"/>
  <c r="S1" i="6"/>
  <c r="R1" i="6"/>
  <c r="Q1" i="6"/>
  <c r="P1" i="6"/>
  <c r="O1" i="6"/>
  <c r="N1" i="6"/>
  <c r="M1" i="6"/>
  <c r="L1" i="6"/>
  <c r="K1" i="6"/>
  <c r="J1" i="6"/>
  <c r="E2" i="4"/>
  <c r="D4" i="1" s="1"/>
  <c r="AH1" i="6" l="1"/>
  <c r="AC2" i="4"/>
  <c r="AD2" i="4"/>
  <c r="AI1" i="6"/>
  <c r="S4" i="1"/>
  <c r="O4" i="1"/>
  <c r="G4" i="1"/>
  <c r="I8" i="1"/>
  <c r="K8" i="1" s="1"/>
  <c r="K6" i="1"/>
  <c r="K4" i="1"/>
  <c r="N8" i="1"/>
  <c r="O8" i="1" s="1"/>
  <c r="O6" i="1"/>
  <c r="G6" i="1"/>
  <c r="D8" i="1"/>
  <c r="G8" i="1" s="1"/>
  <c r="S6" i="1"/>
  <c r="P8" i="1"/>
  <c r="S8" i="1" s="1"/>
  <c r="T4" i="1" l="1"/>
  <c r="T8" i="1"/>
  <c r="T6" i="1"/>
</calcChain>
</file>

<file path=xl/sharedStrings.xml><?xml version="1.0" encoding="utf-8"?>
<sst xmlns="http://schemas.openxmlformats.org/spreadsheetml/2006/main" count="1137" uniqueCount="172">
  <si>
    <t>Sales</t>
  </si>
  <si>
    <t>Royalty</t>
  </si>
  <si>
    <t>MINIMUM</t>
  </si>
  <si>
    <t>ACTUAL</t>
  </si>
  <si>
    <t>FORECAST</t>
  </si>
  <si>
    <t>country</t>
  </si>
  <si>
    <t>licensee</t>
  </si>
  <si>
    <t>currency</t>
  </si>
  <si>
    <t>EXPECTED total</t>
  </si>
  <si>
    <t>Total</t>
  </si>
  <si>
    <t>Licencee</t>
  </si>
  <si>
    <t>Type</t>
  </si>
  <si>
    <t>Licencee_Country</t>
  </si>
  <si>
    <t>Currency</t>
  </si>
  <si>
    <t>Year</t>
  </si>
  <si>
    <t>Customer</t>
  </si>
  <si>
    <t>Product group</t>
  </si>
  <si>
    <t>YTD_Units</t>
  </si>
  <si>
    <t>YTD_Sales</t>
  </si>
  <si>
    <t>units</t>
  </si>
  <si>
    <t>amounts</t>
  </si>
  <si>
    <t>1st quarter</t>
  </si>
  <si>
    <t>2nd quarter</t>
  </si>
  <si>
    <t>3th quarter</t>
  </si>
  <si>
    <t>4th quarter</t>
  </si>
  <si>
    <t>City / Province</t>
  </si>
  <si>
    <t>Store Type</t>
  </si>
  <si>
    <t>USD</t>
  </si>
  <si>
    <t>Best Sox</t>
  </si>
  <si>
    <t>Argentina</t>
  </si>
  <si>
    <t># dozens</t>
  </si>
  <si>
    <t># units</t>
  </si>
  <si>
    <t>dozens</t>
  </si>
  <si>
    <t>#</t>
  </si>
  <si>
    <t>minimum units</t>
  </si>
  <si>
    <t>ARS</t>
  </si>
  <si>
    <t>DABRA S.A.</t>
  </si>
  <si>
    <t>Sur</t>
  </si>
  <si>
    <t>Bs As</t>
  </si>
  <si>
    <t>ISRAEL FELER S.A.</t>
  </si>
  <si>
    <t>Córdoba</t>
  </si>
  <si>
    <t>GBA</t>
  </si>
  <si>
    <t>Cuyo</t>
  </si>
  <si>
    <t>Cap Fed</t>
  </si>
  <si>
    <t>LW</t>
  </si>
  <si>
    <t>La Madrileña S.A.</t>
  </si>
  <si>
    <t>LA CELADA  S.A.</t>
  </si>
  <si>
    <t>MARATHON SRL</t>
  </si>
  <si>
    <t>DEPORTES ANTONIO BALNCO S.A.</t>
  </si>
  <si>
    <t xml:space="preserve">Multibrand </t>
  </si>
  <si>
    <t>NOA</t>
  </si>
  <si>
    <t>PUMA SPORTS ARGENTINA S.A</t>
  </si>
  <si>
    <t>ZARCAL S.A.</t>
  </si>
  <si>
    <t>Freile Andres s.a.</t>
  </si>
  <si>
    <t>MDQ LE SPORT S.A.</t>
  </si>
  <si>
    <t>STADIO UNO</t>
  </si>
  <si>
    <t>CRAVERO ADIAN GUSTAVO</t>
  </si>
  <si>
    <t>ESTAFO JOSE OSVALDO</t>
  </si>
  <si>
    <t>DRAPANTE DANIEL</t>
  </si>
  <si>
    <t>E. Fajardo s.a.</t>
  </si>
  <si>
    <t>Performance s.a.</t>
  </si>
  <si>
    <t>ANTONIO LUQUIN S.A.C.I.F.I</t>
  </si>
  <si>
    <t>PACO GARCIA S.A.</t>
  </si>
  <si>
    <t>NOLASCO ARIEL</t>
  </si>
  <si>
    <t>LOMERIDES S.A.</t>
  </si>
  <si>
    <t>HANDICAP S.A.</t>
  </si>
  <si>
    <t>DIAZ JOSE ALEJANDRO</t>
  </si>
  <si>
    <t>CICCIOLI CARLOS</t>
  </si>
  <si>
    <t>Alpha srl.</t>
  </si>
  <si>
    <t>Maza Roberto</t>
  </si>
  <si>
    <t>ROMITELLI ROSANA</t>
  </si>
  <si>
    <t>MARJUSVALE S.A.</t>
  </si>
  <si>
    <t>Sportman SRL</t>
  </si>
  <si>
    <t>MC. CENTER TUCUMAN SRL</t>
  </si>
  <si>
    <t>FIRST LABEL.SRL</t>
  </si>
  <si>
    <t>O.A.DEPORTES</t>
  </si>
  <si>
    <t>CUCCHIARELLI RICARDO</t>
  </si>
  <si>
    <t>01-2026</t>
  </si>
  <si>
    <t>02-2026</t>
  </si>
  <si>
    <t>03-2026</t>
  </si>
  <si>
    <t>04-2026</t>
  </si>
  <si>
    <t>05-2026</t>
  </si>
  <si>
    <t>06-2026</t>
  </si>
  <si>
    <t>07-2026</t>
  </si>
  <si>
    <t>08-2026</t>
  </si>
  <si>
    <t>09-2026</t>
  </si>
  <si>
    <t>10-2026</t>
  </si>
  <si>
    <t>11-2026</t>
  </si>
  <si>
    <t>12-2026</t>
  </si>
  <si>
    <t>FY 2026</t>
  </si>
  <si>
    <t>FALCON ESTEBAN LECINA</t>
  </si>
  <si>
    <t>GASTALDI MARIA LAURA</t>
  </si>
  <si>
    <t>ZANARKAND SRL</t>
  </si>
  <si>
    <t>ARIMA SPORT</t>
  </si>
  <si>
    <t>Total Sport srl</t>
  </si>
  <si>
    <t>COREN S.A.</t>
  </si>
  <si>
    <t>BONERRO RUFFENER CAROLINA</t>
  </si>
  <si>
    <t>Puma Stores</t>
  </si>
  <si>
    <t>ML FULL</t>
  </si>
  <si>
    <t>COSANELLI ANIBAL</t>
  </si>
  <si>
    <t>GRAELLS NELSON ANTONIO</t>
  </si>
  <si>
    <t>CARLOS ROSSETTI S.A.</t>
  </si>
  <si>
    <t>DAVID COMIZZO DEPORTES S.C</t>
  </si>
  <si>
    <t>LONGHI MARCELO</t>
  </si>
  <si>
    <t>OSOPPO S.A.</t>
  </si>
  <si>
    <t>MARTI JUAN MARTIN</t>
  </si>
  <si>
    <t>CASA  DEL PUEBLO S.A</t>
  </si>
  <si>
    <t>O.A. DEPORTES S.R.L.</t>
  </si>
  <si>
    <t>BLOISE GENARO Y BLOISE ANGEL SOCIEDAD</t>
  </si>
  <si>
    <t>VIMIANZO</t>
  </si>
  <si>
    <t>CAMARIÑAS</t>
  </si>
  <si>
    <t>EL DANTE SAIC</t>
  </si>
  <si>
    <t>Meo Liliana</t>
  </si>
  <si>
    <t>RA OUTLET S H</t>
  </si>
  <si>
    <t>NACE S.R.L</t>
  </si>
  <si>
    <t>ALTA MONTAÑA S.R.L.</t>
  </si>
  <si>
    <t>BARRIO SPORT SRL</t>
  </si>
  <si>
    <t>MAGNO ALEJANDRO</t>
  </si>
  <si>
    <t>TESI S.A.</t>
  </si>
  <si>
    <t>QUEVEDO TEODORO</t>
  </si>
  <si>
    <t>Pueblo S.A.</t>
  </si>
  <si>
    <t>IRDANA S.A.</t>
  </si>
  <si>
    <t>ARMANDO SPORT S.A.S.</t>
  </si>
  <si>
    <t>COPPEL S.A.</t>
  </si>
  <si>
    <t>ADOLFO ZAKIAN SA</t>
  </si>
  <si>
    <t>DINOSAURIO</t>
  </si>
  <si>
    <t>VARTAT S.A.</t>
  </si>
  <si>
    <t>MARTIN GHIANO</t>
  </si>
  <si>
    <t>MERSAN S.R.L.</t>
  </si>
  <si>
    <t>BAU FERNANDO DIEGO</t>
  </si>
  <si>
    <t>NEA</t>
  </si>
  <si>
    <t>LEVI NESTOR</t>
  </si>
  <si>
    <t>VALERA SANDRA PATRICIA</t>
  </si>
  <si>
    <t>SANTIAGO VON MUHLIENEN</t>
  </si>
  <si>
    <t>FORTALEZA EXTREMA S.A.</t>
  </si>
  <si>
    <t>LAGUARDIA FRANCO</t>
  </si>
  <si>
    <t>SCALZO OSVALDO NESTOR</t>
  </si>
  <si>
    <t>Casa Ferracioli S.A.</t>
  </si>
  <si>
    <t>TOTAL SPORT S. R. L</t>
  </si>
  <si>
    <t>Leyenda Adrian</t>
  </si>
  <si>
    <t>LIMITE DEPORTES S.R.L.</t>
  </si>
  <si>
    <t>PALACIO LAURA  CECILIA</t>
  </si>
  <si>
    <t>LAFALLA MARIO  OSCAR</t>
  </si>
  <si>
    <t>DULIO DEL GRECCO E HIJOS S.R.L</t>
  </si>
  <si>
    <t>FRALFE SPORT S.A.S</t>
  </si>
  <si>
    <t>JOSE MARIA BRUNO</t>
  </si>
  <si>
    <t>DE LUCA HECTOR DAMIAN</t>
  </si>
  <si>
    <t>KADIMA S.A.</t>
  </si>
  <si>
    <t>CENTRO DEPORTES S.R.L.</t>
  </si>
  <si>
    <t>Von Muhlinen Santiago</t>
  </si>
  <si>
    <t>IMPACTO DEPORTES S.R.L.</t>
  </si>
  <si>
    <t>DE GRUTTOLA JESUS  Y JAVIER S.H.</t>
  </si>
  <si>
    <t>FERREIRA  SPORT S.A.</t>
  </si>
  <si>
    <t>CHECA JOSEFINA DEL CARMEN</t>
  </si>
  <si>
    <t>MALDJIAN  ALEJANDRO</t>
  </si>
  <si>
    <t>UGARTE Y CIA. S.R.L.</t>
  </si>
  <si>
    <t>MARCOS LEANDRO LAROSE</t>
  </si>
  <si>
    <t>FACTORY SPORT S.A.</t>
  </si>
  <si>
    <t>GOMEZ MIGUEL ANGEL</t>
  </si>
  <si>
    <t>GEVIRTZMAN MARIO</t>
  </si>
  <si>
    <t>BELLETTINI JOSE GUSTAVO</t>
  </si>
  <si>
    <t>SIAN S.A.</t>
  </si>
  <si>
    <t>DE GRUTOLLA DOMINGO</t>
  </si>
  <si>
    <t>TUTUCA S.A.</t>
  </si>
  <si>
    <t>SALINAS MABEL S.A.</t>
  </si>
  <si>
    <t>SOTO RAMIRO RODOLFO</t>
  </si>
  <si>
    <t>MABEL SALINAS</t>
  </si>
  <si>
    <t>OULET CENTER SRL</t>
  </si>
  <si>
    <t>SIMON Y  CIA S.R.L</t>
  </si>
  <si>
    <t>RICAGNO FABIAN</t>
  </si>
  <si>
    <t>ANNEX</t>
  </si>
  <si>
    <t>GERONIMO Deportes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</si>
</sst>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3" formatCode="_(* #,##0.00_);_(* \(#,##0.00\);_(* &quot;-&quot;??_);_(@_)"/>
    <numFmt numFmtId="164" formatCode="_(&quot;$&quot;* #,##0.00_);_(&quot;$&quot;* \(#,##0.00\);_(&quot;$&quot;* &quot;-&quot;??_);_(@_)"/>
    <numFmt numFmtId="165" formatCode="_-&quot;€&quot;\ * #,##0.00_-;_-&quot;€&quot;\ * #,##0.00\-;_-&quot;€&quot;\ * &quot;-&quot;??_-;_-@_-"/>
    <numFmt numFmtId="166" formatCode="_-* #,##0.00_-;_-* #,##0.00\-;_-* &quot;-&quot;??_-;_-@_-"/>
    <numFmt numFmtId="167" formatCode="_-&quot;€&quot;\ * #,##0_-;_-&quot;€&quot;\ * #,##0\-;_-&quot;€&quot;\ * &quot;-&quot;??_-;_-@_-"/>
    <numFmt numFmtId="168" formatCode="_-* #,##0_-;_-* #,##0\-;_-* &quot;-&quot;??_-;_-@_-"/>
    <numFmt numFmtId="169" formatCode="0.0%"/>
    <numFmt numFmtId="170" formatCode="#,##0.00\ [$€-813];\-#,##0.00\ [$€-813]"/>
    <numFmt numFmtId="171" formatCode="#,##0;[Red]\(#,##0\)"/>
    <numFmt numFmtId="172" formatCode="_-&quot;fl&quot;\ * #,##0.00_-;_-&quot;fl&quot;\ * #,##0.00\-;_-&quot;fl&quot;\ * &quot;-&quot;??_-;_-@_-"/>
    <numFmt numFmtId="173" formatCode="_-* #,##0.00\ &quot;€&quot;_-;\-* #,##0.00\ &quot;€&quot;_-;_-* &quot;-&quot;??\ &quot;€&quot;_-;_-@_-"/>
    <numFmt numFmtId="174" formatCode="_-[$€]* #,##0.00_-;\-[$€]* #,##0.00_-;_-[$€]* &quot;-&quot;??_-;_-@_-"/>
    <numFmt numFmtId="175" formatCode="#,##0.0;[Red]\(#,##0.0\)"/>
    <numFmt numFmtId="176" formatCode="_-* #,##0\ _F_-;\-* #,##0\ _F_-;_-* &quot;-&quot;\ _F_-;_-@_-"/>
    <numFmt numFmtId="177" formatCode="#,##0_ ;[Red]\-#,##0\ "/>
    <numFmt numFmtId="178" formatCode="_-* #,##0\ &quot;F&quot;_-;\-* #,##0\ &quot;F&quot;_-;_-* &quot;-&quot;\ &quot;F&quot;_-;_-@_-"/>
    <numFmt numFmtId="179" formatCode="[$-413]mmmm/yy;@"/>
    <numFmt numFmtId="180" formatCode="&quot;$&quot;#,##0.00"/>
    <numFmt numFmtId="181" formatCode="&quot;$&quot;\ #,##0.00"/>
    <numFmt numFmtId="182" formatCode="0.0000"/>
  </numFmts>
  <fonts count="9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"/>
      <name val="ＭＳ Ｐゴシック"/>
      <family val="3"/>
      <charset val="128"/>
    </font>
    <font>
      <sz val="11"/>
      <color theme="1"/>
      <name val="Calibri"/>
      <family val="3"/>
      <charset val="129"/>
      <scheme val="minor"/>
    </font>
    <font>
      <sz val="11"/>
      <color theme="0"/>
      <name val="ＭＳ Ｐゴシック"/>
      <family val="3"/>
      <charset val="128"/>
    </font>
    <font>
      <sz val="11"/>
      <color theme="0"/>
      <name val="Calibri"/>
      <family val="3"/>
      <charset val="129"/>
      <scheme val="minor"/>
    </font>
    <font>
      <sz val="6"/>
      <name val="Arial"/>
      <family val="2"/>
    </font>
    <font>
      <sz val="11"/>
      <color rgb="FF9C0006"/>
      <name val="ＭＳ Ｐゴシック"/>
      <family val="3"/>
      <charset val="128"/>
    </font>
    <font>
      <sz val="11"/>
      <color rgb="FF9C0006"/>
      <name val="Calibri"/>
      <family val="3"/>
      <charset val="129"/>
      <scheme val="minor"/>
    </font>
    <font>
      <b/>
      <sz val="11"/>
      <color rgb="FFFA7D00"/>
      <name val="ＭＳ Ｐゴシック"/>
      <family val="3"/>
      <charset val="128"/>
    </font>
    <font>
      <b/>
      <sz val="11"/>
      <color rgb="FFFA7D00"/>
      <name val="Calibri"/>
      <family val="3"/>
      <charset val="129"/>
      <scheme val="minor"/>
    </font>
    <font>
      <b/>
      <sz val="11"/>
      <color theme="0"/>
      <name val="ＭＳ Ｐゴシック"/>
      <family val="3"/>
      <charset val="128"/>
    </font>
    <font>
      <b/>
      <sz val="11"/>
      <color theme="0"/>
      <name val="Calibri"/>
      <family val="3"/>
      <charset val="129"/>
      <scheme val="minor"/>
    </font>
    <font>
      <sz val="10"/>
      <name val="Arial"/>
      <family val="2"/>
    </font>
    <font>
      <sz val="10"/>
      <name val="MS Sans Serif"/>
      <family val="2"/>
    </font>
    <font>
      <sz val="10"/>
      <name val="MS Sans Serif"/>
      <family val="2"/>
    </font>
    <font>
      <sz val="10"/>
      <name val="Univers 55"/>
      <family val="2"/>
    </font>
    <font>
      <sz val="10"/>
      <name val="Univers 55"/>
    </font>
    <font>
      <sz val="10"/>
      <name val="Tahoma"/>
      <family val="2"/>
    </font>
    <font>
      <i/>
      <sz val="11"/>
      <color rgb="FF7F7F7F"/>
      <name val="ＭＳ Ｐゴシック"/>
      <family val="3"/>
      <charset val="128"/>
    </font>
    <font>
      <i/>
      <sz val="11"/>
      <color rgb="FF7F7F7F"/>
      <name val="Calibri"/>
      <family val="3"/>
      <charset val="129"/>
      <scheme val="minor"/>
    </font>
    <font>
      <b/>
      <sz val="9"/>
      <name val="Arial"/>
      <family val="2"/>
    </font>
    <font>
      <sz val="11"/>
      <color rgb="FF006100"/>
      <name val="ＭＳ Ｐゴシック"/>
      <family val="3"/>
      <charset val="128"/>
    </font>
    <font>
      <sz val="11"/>
      <color rgb="FF006100"/>
      <name val="Calibri"/>
      <family val="3"/>
      <charset val="129"/>
      <scheme val="minor"/>
    </font>
    <font>
      <b/>
      <sz val="15"/>
      <color theme="3"/>
      <name val="ＭＳ Ｐゴシック"/>
      <family val="3"/>
      <charset val="128"/>
    </font>
    <font>
      <b/>
      <sz val="15"/>
      <color theme="3"/>
      <name val="Calibri"/>
      <family val="3"/>
      <charset val="129"/>
      <scheme val="minor"/>
    </font>
    <font>
      <b/>
      <sz val="13"/>
      <color theme="3"/>
      <name val="ＭＳ Ｐゴシック"/>
      <family val="3"/>
      <charset val="128"/>
    </font>
    <font>
      <b/>
      <sz val="13"/>
      <color theme="3"/>
      <name val="Calibri"/>
      <family val="3"/>
      <charset val="129"/>
      <scheme val="minor"/>
    </font>
    <font>
      <b/>
      <sz val="11"/>
      <color theme="3"/>
      <name val="ＭＳ Ｐゴシック"/>
      <family val="3"/>
      <charset val="128"/>
    </font>
    <font>
      <b/>
      <sz val="11"/>
      <color theme="3"/>
      <name val="Calibri"/>
      <family val="3"/>
      <charset val="129"/>
      <scheme val="minor"/>
    </font>
    <font>
      <u/>
      <sz val="10"/>
      <color theme="10"/>
      <name val="Arial"/>
      <family val="2"/>
    </font>
    <font>
      <u/>
      <sz val="10"/>
      <color indexed="12"/>
      <name val="Arial"/>
      <family val="2"/>
    </font>
    <font>
      <sz val="11"/>
      <color rgb="FF3F3F76"/>
      <name val="ＭＳ Ｐゴシック"/>
      <family val="3"/>
      <charset val="128"/>
    </font>
    <font>
      <sz val="11"/>
      <color rgb="FF3F3F76"/>
      <name val="Calibri"/>
      <family val="3"/>
      <charset val="129"/>
      <scheme val="minor"/>
    </font>
    <font>
      <sz val="11"/>
      <color rgb="FFFA7D00"/>
      <name val="ＭＳ Ｐゴシック"/>
      <family val="3"/>
      <charset val="128"/>
    </font>
    <font>
      <sz val="11"/>
      <color rgb="FFFA7D00"/>
      <name val="Calibri"/>
      <family val="3"/>
      <charset val="129"/>
      <scheme val="minor"/>
    </font>
    <font>
      <sz val="7"/>
      <name val="Arial"/>
      <family val="2"/>
    </font>
    <font>
      <sz val="11"/>
      <color rgb="FF9C6500"/>
      <name val="ＭＳ Ｐゴシック"/>
      <family val="3"/>
      <charset val="128"/>
    </font>
    <font>
      <sz val="11"/>
      <color rgb="FF9C6500"/>
      <name val="Calibri"/>
      <family val="3"/>
      <charset val="129"/>
      <scheme val="minor"/>
    </font>
    <font>
      <sz val="12"/>
      <name val="Verdana"/>
      <family val="2"/>
    </font>
    <font>
      <sz val="11"/>
      <color indexed="8"/>
      <name val="宋体"/>
      <charset val="134"/>
    </font>
    <font>
      <sz val="11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</font>
    <font>
      <b/>
      <sz val="11"/>
      <color rgb="FF3F3F3F"/>
      <name val="Calibri"/>
      <family val="3"/>
      <charset val="129"/>
      <scheme val="minor"/>
    </font>
    <font>
      <b/>
      <u/>
      <sz val="10"/>
      <name val="Arial"/>
      <family val="2"/>
    </font>
    <font>
      <b/>
      <u/>
      <sz val="12"/>
      <name val="Arial"/>
      <family val="2"/>
    </font>
    <font>
      <sz val="10"/>
      <name val="Arial"/>
      <family val="2"/>
    </font>
    <font>
      <b/>
      <sz val="18"/>
      <color theme="3"/>
      <name val="Cambria"/>
      <family val="1"/>
      <scheme val="major"/>
    </font>
    <font>
      <b/>
      <sz val="18"/>
      <color theme="3"/>
      <name val="ＭＳ Ｐゴシック"/>
      <family val="3"/>
      <charset val="128"/>
    </font>
    <font>
      <b/>
      <sz val="18"/>
      <color theme="3"/>
      <name val="Cambria"/>
      <family val="3"/>
      <charset val="129"/>
      <scheme val="major"/>
    </font>
    <font>
      <b/>
      <sz val="11"/>
      <color theme="1"/>
      <name val="ＭＳ Ｐゴシック"/>
      <family val="3"/>
      <charset val="128"/>
    </font>
    <font>
      <b/>
      <sz val="11"/>
      <color theme="1"/>
      <name val="Calibri"/>
      <family val="3"/>
      <charset val="129"/>
      <scheme val="minor"/>
    </font>
    <font>
      <sz val="11"/>
      <color rgb="FFFF0000"/>
      <name val="ＭＳ Ｐゴシック"/>
      <family val="3"/>
      <charset val="128"/>
    </font>
    <font>
      <sz val="11"/>
      <color rgb="FFFF0000"/>
      <name val="Calibri"/>
      <family val="3"/>
      <charset val="129"/>
      <scheme val="minor"/>
    </font>
    <font>
      <sz val="9"/>
      <name val="宋体"/>
      <charset val="134"/>
    </font>
    <font>
      <b/>
      <sz val="12"/>
      <color theme="1"/>
      <name val="Calibri"/>
      <family val="2"/>
      <scheme val="minor"/>
    </font>
    <font>
      <b/>
      <sz val="10"/>
      <color indexed="9"/>
      <name val="Tahoma"/>
      <family val="2"/>
    </font>
    <font>
      <b/>
      <sz val="10"/>
      <name val="Tahoma"/>
      <family val="2"/>
    </font>
    <font>
      <sz val="10"/>
      <color indexed="8"/>
      <name val="Tahoma"/>
      <family val="2"/>
    </font>
    <font>
      <sz val="10"/>
      <color theme="3" tint="0.39997558519241921"/>
      <name val="Arial"/>
      <family val="2"/>
    </font>
    <font>
      <sz val="10"/>
      <name val="Tahoma"/>
      <family val="2"/>
    </font>
    <font>
      <b/>
      <sz val="9"/>
      <name val="Arial"/>
      <family val="2"/>
    </font>
    <font>
      <b/>
      <u/>
      <sz val="10"/>
      <name val="Arial"/>
      <family val="2"/>
    </font>
    <font>
      <b/>
      <u/>
      <sz val="12"/>
      <name val="Arial"/>
      <family val="2"/>
    </font>
    <font>
      <sz val="12"/>
      <name val="Verdana"/>
      <family val="2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theme="3" tint="0.5999938962981048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39997558519241921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926">
    <xf numFmtId="0" fontId="0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10" borderId="0" applyNumberFormat="0" applyBorder="0" applyAlignment="0" applyProtection="0"/>
    <xf numFmtId="170" fontId="1" fillId="10" borderId="0" applyNumberFormat="0" applyBorder="0" applyAlignment="0" applyProtection="0"/>
    <xf numFmtId="170" fontId="22" fillId="34" borderId="0" applyNumberFormat="0" applyBorder="0" applyAlignment="0" applyProtection="0"/>
    <xf numFmtId="170" fontId="23" fillId="10" borderId="0" applyNumberFormat="0" applyBorder="0" applyAlignment="0" applyProtection="0"/>
    <xf numFmtId="0" fontId="22" fillId="34" borderId="0" applyNumberFormat="0" applyBorder="0" applyAlignment="0" applyProtection="0"/>
    <xf numFmtId="0" fontId="23" fillId="10" borderId="0" applyNumberFormat="0" applyBorder="0" applyAlignment="0" applyProtection="0"/>
    <xf numFmtId="170" fontId="1" fillId="10" borderId="0" applyNumberFormat="0" applyBorder="0" applyAlignment="0" applyProtection="0"/>
    <xf numFmtId="170" fontId="22" fillId="34" borderId="0" applyNumberFormat="0" applyBorder="0" applyAlignment="0" applyProtection="0"/>
    <xf numFmtId="170" fontId="23" fillId="10" borderId="0" applyNumberFormat="0" applyBorder="0" applyAlignment="0" applyProtection="0"/>
    <xf numFmtId="0" fontId="1" fillId="14" borderId="0" applyNumberFormat="0" applyBorder="0" applyAlignment="0" applyProtection="0"/>
    <xf numFmtId="170" fontId="1" fillId="14" borderId="0" applyNumberFormat="0" applyBorder="0" applyAlignment="0" applyProtection="0"/>
    <xf numFmtId="170" fontId="22" fillId="35" borderId="0" applyNumberFormat="0" applyBorder="0" applyAlignment="0" applyProtection="0"/>
    <xf numFmtId="170" fontId="23" fillId="14" borderId="0" applyNumberFormat="0" applyBorder="0" applyAlignment="0" applyProtection="0"/>
    <xf numFmtId="0" fontId="22" fillId="35" borderId="0" applyNumberFormat="0" applyBorder="0" applyAlignment="0" applyProtection="0"/>
    <xf numFmtId="0" fontId="23" fillId="14" borderId="0" applyNumberFormat="0" applyBorder="0" applyAlignment="0" applyProtection="0"/>
    <xf numFmtId="170" fontId="1" fillId="14" borderId="0" applyNumberFormat="0" applyBorder="0" applyAlignment="0" applyProtection="0"/>
    <xf numFmtId="170" fontId="22" fillId="35" borderId="0" applyNumberFormat="0" applyBorder="0" applyAlignment="0" applyProtection="0"/>
    <xf numFmtId="170" fontId="23" fillId="14" borderId="0" applyNumberFormat="0" applyBorder="0" applyAlignment="0" applyProtection="0"/>
    <xf numFmtId="0" fontId="1" fillId="18" borderId="0" applyNumberFormat="0" applyBorder="0" applyAlignment="0" applyProtection="0"/>
    <xf numFmtId="170" fontId="1" fillId="18" borderId="0" applyNumberFormat="0" applyBorder="0" applyAlignment="0" applyProtection="0"/>
    <xf numFmtId="170" fontId="22" fillId="36" borderId="0" applyNumberFormat="0" applyBorder="0" applyAlignment="0" applyProtection="0"/>
    <xf numFmtId="170" fontId="23" fillId="18" borderId="0" applyNumberFormat="0" applyBorder="0" applyAlignment="0" applyProtection="0"/>
    <xf numFmtId="0" fontId="22" fillId="36" borderId="0" applyNumberFormat="0" applyBorder="0" applyAlignment="0" applyProtection="0"/>
    <xf numFmtId="0" fontId="23" fillId="18" borderId="0" applyNumberFormat="0" applyBorder="0" applyAlignment="0" applyProtection="0"/>
    <xf numFmtId="170" fontId="1" fillId="18" borderId="0" applyNumberFormat="0" applyBorder="0" applyAlignment="0" applyProtection="0"/>
    <xf numFmtId="170" fontId="22" fillId="36" borderId="0" applyNumberFormat="0" applyBorder="0" applyAlignment="0" applyProtection="0"/>
    <xf numFmtId="170" fontId="23" fillId="18" borderId="0" applyNumberFormat="0" applyBorder="0" applyAlignment="0" applyProtection="0"/>
    <xf numFmtId="0" fontId="1" fillId="22" borderId="0" applyNumberFormat="0" applyBorder="0" applyAlignment="0" applyProtection="0"/>
    <xf numFmtId="170" fontId="1" fillId="22" borderId="0" applyNumberFormat="0" applyBorder="0" applyAlignment="0" applyProtection="0"/>
    <xf numFmtId="170" fontId="22" fillId="37" borderId="0" applyNumberFormat="0" applyBorder="0" applyAlignment="0" applyProtection="0"/>
    <xf numFmtId="170" fontId="23" fillId="22" borderId="0" applyNumberFormat="0" applyBorder="0" applyAlignment="0" applyProtection="0"/>
    <xf numFmtId="0" fontId="22" fillId="37" borderId="0" applyNumberFormat="0" applyBorder="0" applyAlignment="0" applyProtection="0"/>
    <xf numFmtId="0" fontId="23" fillId="22" borderId="0" applyNumberFormat="0" applyBorder="0" applyAlignment="0" applyProtection="0"/>
    <xf numFmtId="170" fontId="1" fillId="22" borderId="0" applyNumberFormat="0" applyBorder="0" applyAlignment="0" applyProtection="0"/>
    <xf numFmtId="170" fontId="22" fillId="37" borderId="0" applyNumberFormat="0" applyBorder="0" applyAlignment="0" applyProtection="0"/>
    <xf numFmtId="170" fontId="23" fillId="22" borderId="0" applyNumberFormat="0" applyBorder="0" applyAlignment="0" applyProtection="0"/>
    <xf numFmtId="0" fontId="1" fillId="26" borderId="0" applyNumberFormat="0" applyBorder="0" applyAlignment="0" applyProtection="0"/>
    <xf numFmtId="170" fontId="1" fillId="26" borderId="0" applyNumberFormat="0" applyBorder="0" applyAlignment="0" applyProtection="0"/>
    <xf numFmtId="170" fontId="22" fillId="26" borderId="0" applyNumberFormat="0" applyBorder="0" applyAlignment="0" applyProtection="0"/>
    <xf numFmtId="170" fontId="23" fillId="26" borderId="0" applyNumberFormat="0" applyBorder="0" applyAlignment="0" applyProtection="0"/>
    <xf numFmtId="0" fontId="22" fillId="26" borderId="0" applyNumberFormat="0" applyBorder="0" applyAlignment="0" applyProtection="0"/>
    <xf numFmtId="0" fontId="23" fillId="26" borderId="0" applyNumberFormat="0" applyBorder="0" applyAlignment="0" applyProtection="0"/>
    <xf numFmtId="170" fontId="1" fillId="26" borderId="0" applyNumberFormat="0" applyBorder="0" applyAlignment="0" applyProtection="0"/>
    <xf numFmtId="170" fontId="22" fillId="26" borderId="0" applyNumberFormat="0" applyBorder="0" applyAlignment="0" applyProtection="0"/>
    <xf numFmtId="170" fontId="23" fillId="26" borderId="0" applyNumberFormat="0" applyBorder="0" applyAlignment="0" applyProtection="0"/>
    <xf numFmtId="0" fontId="1" fillId="30" borderId="0" applyNumberFormat="0" applyBorder="0" applyAlignment="0" applyProtection="0"/>
    <xf numFmtId="170" fontId="1" fillId="30" borderId="0" applyNumberFormat="0" applyBorder="0" applyAlignment="0" applyProtection="0"/>
    <xf numFmtId="170" fontId="22" fillId="30" borderId="0" applyNumberFormat="0" applyBorder="0" applyAlignment="0" applyProtection="0"/>
    <xf numFmtId="170" fontId="23" fillId="30" borderId="0" applyNumberFormat="0" applyBorder="0" applyAlignment="0" applyProtection="0"/>
    <xf numFmtId="0" fontId="22" fillId="30" borderId="0" applyNumberFormat="0" applyBorder="0" applyAlignment="0" applyProtection="0"/>
    <xf numFmtId="0" fontId="23" fillId="30" borderId="0" applyNumberFormat="0" applyBorder="0" applyAlignment="0" applyProtection="0"/>
    <xf numFmtId="170" fontId="1" fillId="30" borderId="0" applyNumberFormat="0" applyBorder="0" applyAlignment="0" applyProtection="0"/>
    <xf numFmtId="170" fontId="22" fillId="30" borderId="0" applyNumberFormat="0" applyBorder="0" applyAlignment="0" applyProtection="0"/>
    <xf numFmtId="170" fontId="23" fillId="3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170" fontId="1" fillId="11" borderId="0" applyNumberFormat="0" applyBorder="0" applyAlignment="0" applyProtection="0"/>
    <xf numFmtId="170" fontId="22" fillId="11" borderId="0" applyNumberFormat="0" applyBorder="0" applyAlignment="0" applyProtection="0"/>
    <xf numFmtId="170" fontId="23" fillId="11" borderId="0" applyNumberFormat="0" applyBorder="0" applyAlignment="0" applyProtection="0"/>
    <xf numFmtId="0" fontId="22" fillId="11" borderId="0" applyNumberFormat="0" applyBorder="0" applyAlignment="0" applyProtection="0"/>
    <xf numFmtId="0" fontId="23" fillId="11" borderId="0" applyNumberFormat="0" applyBorder="0" applyAlignment="0" applyProtection="0"/>
    <xf numFmtId="170" fontId="1" fillId="11" borderId="0" applyNumberFormat="0" applyBorder="0" applyAlignment="0" applyProtection="0"/>
    <xf numFmtId="170" fontId="22" fillId="11" borderId="0" applyNumberFormat="0" applyBorder="0" applyAlignment="0" applyProtection="0"/>
    <xf numFmtId="170" fontId="23" fillId="11" borderId="0" applyNumberFormat="0" applyBorder="0" applyAlignment="0" applyProtection="0"/>
    <xf numFmtId="0" fontId="1" fillId="15" borderId="0" applyNumberFormat="0" applyBorder="0" applyAlignment="0" applyProtection="0"/>
    <xf numFmtId="170" fontId="1" fillId="15" borderId="0" applyNumberFormat="0" applyBorder="0" applyAlignment="0" applyProtection="0"/>
    <xf numFmtId="170" fontId="22" fillId="15" borderId="0" applyNumberFormat="0" applyBorder="0" applyAlignment="0" applyProtection="0"/>
    <xf numFmtId="170" fontId="23" fillId="15" borderId="0" applyNumberFormat="0" applyBorder="0" applyAlignment="0" applyProtection="0"/>
    <xf numFmtId="0" fontId="22" fillId="15" borderId="0" applyNumberFormat="0" applyBorder="0" applyAlignment="0" applyProtection="0"/>
    <xf numFmtId="0" fontId="23" fillId="15" borderId="0" applyNumberFormat="0" applyBorder="0" applyAlignment="0" applyProtection="0"/>
    <xf numFmtId="170" fontId="1" fillId="15" borderId="0" applyNumberFormat="0" applyBorder="0" applyAlignment="0" applyProtection="0"/>
    <xf numFmtId="170" fontId="22" fillId="15" borderId="0" applyNumberFormat="0" applyBorder="0" applyAlignment="0" applyProtection="0"/>
    <xf numFmtId="170" fontId="23" fillId="15" borderId="0" applyNumberFormat="0" applyBorder="0" applyAlignment="0" applyProtection="0"/>
    <xf numFmtId="0" fontId="1" fillId="19" borderId="0" applyNumberFormat="0" applyBorder="0" applyAlignment="0" applyProtection="0"/>
    <xf numFmtId="170" fontId="1" fillId="19" borderId="0" applyNumberFormat="0" applyBorder="0" applyAlignment="0" applyProtection="0"/>
    <xf numFmtId="170" fontId="22" fillId="38" borderId="0" applyNumberFormat="0" applyBorder="0" applyAlignment="0" applyProtection="0"/>
    <xf numFmtId="170" fontId="23" fillId="19" borderId="0" applyNumberFormat="0" applyBorder="0" applyAlignment="0" applyProtection="0"/>
    <xf numFmtId="0" fontId="22" fillId="38" borderId="0" applyNumberFormat="0" applyBorder="0" applyAlignment="0" applyProtection="0"/>
    <xf numFmtId="0" fontId="23" fillId="19" borderId="0" applyNumberFormat="0" applyBorder="0" applyAlignment="0" applyProtection="0"/>
    <xf numFmtId="170" fontId="1" fillId="19" borderId="0" applyNumberFormat="0" applyBorder="0" applyAlignment="0" applyProtection="0"/>
    <xf numFmtId="170" fontId="22" fillId="38" borderId="0" applyNumberFormat="0" applyBorder="0" applyAlignment="0" applyProtection="0"/>
    <xf numFmtId="170" fontId="23" fillId="19" borderId="0" applyNumberFormat="0" applyBorder="0" applyAlignment="0" applyProtection="0"/>
    <xf numFmtId="0" fontId="1" fillId="23" borderId="0" applyNumberFormat="0" applyBorder="0" applyAlignment="0" applyProtection="0"/>
    <xf numFmtId="170" fontId="1" fillId="23" borderId="0" applyNumberFormat="0" applyBorder="0" applyAlignment="0" applyProtection="0"/>
    <xf numFmtId="170" fontId="22" fillId="23" borderId="0" applyNumberFormat="0" applyBorder="0" applyAlignment="0" applyProtection="0"/>
    <xf numFmtId="170" fontId="23" fillId="23" borderId="0" applyNumberFormat="0" applyBorder="0" applyAlignment="0" applyProtection="0"/>
    <xf numFmtId="0" fontId="22" fillId="23" borderId="0" applyNumberFormat="0" applyBorder="0" applyAlignment="0" applyProtection="0"/>
    <xf numFmtId="0" fontId="23" fillId="23" borderId="0" applyNumberFormat="0" applyBorder="0" applyAlignment="0" applyProtection="0"/>
    <xf numFmtId="170" fontId="1" fillId="23" borderId="0" applyNumberFormat="0" applyBorder="0" applyAlignment="0" applyProtection="0"/>
    <xf numFmtId="170" fontId="22" fillId="23" borderId="0" applyNumberFormat="0" applyBorder="0" applyAlignment="0" applyProtection="0"/>
    <xf numFmtId="170" fontId="23" fillId="23" borderId="0" applyNumberFormat="0" applyBorder="0" applyAlignment="0" applyProtection="0"/>
    <xf numFmtId="0" fontId="1" fillId="27" borderId="0" applyNumberFormat="0" applyBorder="0" applyAlignment="0" applyProtection="0"/>
    <xf numFmtId="170" fontId="1" fillId="27" borderId="0" applyNumberFormat="0" applyBorder="0" applyAlignment="0" applyProtection="0"/>
    <xf numFmtId="170" fontId="22" fillId="27" borderId="0" applyNumberFormat="0" applyBorder="0" applyAlignment="0" applyProtection="0"/>
    <xf numFmtId="170" fontId="23" fillId="27" borderId="0" applyNumberFormat="0" applyBorder="0" applyAlignment="0" applyProtection="0"/>
    <xf numFmtId="0" fontId="22" fillId="27" borderId="0" applyNumberFormat="0" applyBorder="0" applyAlignment="0" applyProtection="0"/>
    <xf numFmtId="0" fontId="23" fillId="27" borderId="0" applyNumberFormat="0" applyBorder="0" applyAlignment="0" applyProtection="0"/>
    <xf numFmtId="170" fontId="1" fillId="27" borderId="0" applyNumberFormat="0" applyBorder="0" applyAlignment="0" applyProtection="0"/>
    <xf numFmtId="170" fontId="22" fillId="27" borderId="0" applyNumberFormat="0" applyBorder="0" applyAlignment="0" applyProtection="0"/>
    <xf numFmtId="170" fontId="23" fillId="27" borderId="0" applyNumberFormat="0" applyBorder="0" applyAlignment="0" applyProtection="0"/>
    <xf numFmtId="0" fontId="1" fillId="31" borderId="0" applyNumberFormat="0" applyBorder="0" applyAlignment="0" applyProtection="0"/>
    <xf numFmtId="170" fontId="1" fillId="31" borderId="0" applyNumberFormat="0" applyBorder="0" applyAlignment="0" applyProtection="0"/>
    <xf numFmtId="170" fontId="22" fillId="31" borderId="0" applyNumberFormat="0" applyBorder="0" applyAlignment="0" applyProtection="0"/>
    <xf numFmtId="170" fontId="23" fillId="31" borderId="0" applyNumberFormat="0" applyBorder="0" applyAlignment="0" applyProtection="0"/>
    <xf numFmtId="0" fontId="22" fillId="31" borderId="0" applyNumberFormat="0" applyBorder="0" applyAlignment="0" applyProtection="0"/>
    <xf numFmtId="0" fontId="23" fillId="31" borderId="0" applyNumberFormat="0" applyBorder="0" applyAlignment="0" applyProtection="0"/>
    <xf numFmtId="170" fontId="1" fillId="31" borderId="0" applyNumberFormat="0" applyBorder="0" applyAlignment="0" applyProtection="0"/>
    <xf numFmtId="170" fontId="22" fillId="31" borderId="0" applyNumberFormat="0" applyBorder="0" applyAlignment="0" applyProtection="0"/>
    <xf numFmtId="170" fontId="23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170" fontId="17" fillId="12" borderId="0" applyNumberFormat="0" applyBorder="0" applyAlignment="0" applyProtection="0"/>
    <xf numFmtId="170" fontId="24" fillId="12" borderId="0" applyNumberFormat="0" applyBorder="0" applyAlignment="0" applyProtection="0"/>
    <xf numFmtId="170" fontId="25" fillId="12" borderId="0" applyNumberFormat="0" applyBorder="0" applyAlignment="0" applyProtection="0"/>
    <xf numFmtId="170" fontId="17" fillId="12" borderId="0" applyNumberFormat="0" applyBorder="0" applyAlignment="0" applyProtection="0"/>
    <xf numFmtId="170" fontId="24" fillId="12" borderId="0" applyNumberFormat="0" applyBorder="0" applyAlignment="0" applyProtection="0"/>
    <xf numFmtId="170" fontId="25" fillId="12" borderId="0" applyNumberFormat="0" applyBorder="0" applyAlignment="0" applyProtection="0"/>
    <xf numFmtId="170" fontId="17" fillId="16" borderId="0" applyNumberFormat="0" applyBorder="0" applyAlignment="0" applyProtection="0"/>
    <xf numFmtId="170" fontId="24" fillId="16" borderId="0" applyNumberFormat="0" applyBorder="0" applyAlignment="0" applyProtection="0"/>
    <xf numFmtId="170" fontId="25" fillId="16" borderId="0" applyNumberFormat="0" applyBorder="0" applyAlignment="0" applyProtection="0"/>
    <xf numFmtId="170" fontId="17" fillId="16" borderId="0" applyNumberFormat="0" applyBorder="0" applyAlignment="0" applyProtection="0"/>
    <xf numFmtId="170" fontId="24" fillId="16" borderId="0" applyNumberFormat="0" applyBorder="0" applyAlignment="0" applyProtection="0"/>
    <xf numFmtId="170" fontId="25" fillId="16" borderId="0" applyNumberFormat="0" applyBorder="0" applyAlignment="0" applyProtection="0"/>
    <xf numFmtId="170" fontId="17" fillId="20" borderId="0" applyNumberFormat="0" applyBorder="0" applyAlignment="0" applyProtection="0"/>
    <xf numFmtId="170" fontId="24" fillId="38" borderId="0" applyNumberFormat="0" applyBorder="0" applyAlignment="0" applyProtection="0"/>
    <xf numFmtId="170" fontId="25" fillId="20" borderId="0" applyNumberFormat="0" applyBorder="0" applyAlignment="0" applyProtection="0"/>
    <xf numFmtId="170" fontId="17" fillId="20" borderId="0" applyNumberFormat="0" applyBorder="0" applyAlignment="0" applyProtection="0"/>
    <xf numFmtId="170" fontId="24" fillId="38" borderId="0" applyNumberFormat="0" applyBorder="0" applyAlignment="0" applyProtection="0"/>
    <xf numFmtId="170" fontId="25" fillId="20" borderId="0" applyNumberFormat="0" applyBorder="0" applyAlignment="0" applyProtection="0"/>
    <xf numFmtId="170" fontId="17" fillId="24" borderId="0" applyNumberFormat="0" applyBorder="0" applyAlignment="0" applyProtection="0"/>
    <xf numFmtId="170" fontId="24" fillId="39" borderId="0" applyNumberFormat="0" applyBorder="0" applyAlignment="0" applyProtection="0"/>
    <xf numFmtId="170" fontId="25" fillId="24" borderId="0" applyNumberFormat="0" applyBorder="0" applyAlignment="0" applyProtection="0"/>
    <xf numFmtId="170" fontId="17" fillId="24" borderId="0" applyNumberFormat="0" applyBorder="0" applyAlignment="0" applyProtection="0"/>
    <xf numFmtId="170" fontId="24" fillId="39" borderId="0" applyNumberFormat="0" applyBorder="0" applyAlignment="0" applyProtection="0"/>
    <xf numFmtId="170" fontId="25" fillId="24" borderId="0" applyNumberFormat="0" applyBorder="0" applyAlignment="0" applyProtection="0"/>
    <xf numFmtId="170" fontId="17" fillId="28" borderId="0" applyNumberFormat="0" applyBorder="0" applyAlignment="0" applyProtection="0"/>
    <xf numFmtId="170" fontId="24" fillId="28" borderId="0" applyNumberFormat="0" applyBorder="0" applyAlignment="0" applyProtection="0"/>
    <xf numFmtId="170" fontId="25" fillId="28" borderId="0" applyNumberFormat="0" applyBorder="0" applyAlignment="0" applyProtection="0"/>
    <xf numFmtId="170" fontId="17" fillId="28" borderId="0" applyNumberFormat="0" applyBorder="0" applyAlignment="0" applyProtection="0"/>
    <xf numFmtId="170" fontId="24" fillId="28" borderId="0" applyNumberFormat="0" applyBorder="0" applyAlignment="0" applyProtection="0"/>
    <xf numFmtId="170" fontId="25" fillId="28" borderId="0" applyNumberFormat="0" applyBorder="0" applyAlignment="0" applyProtection="0"/>
    <xf numFmtId="170" fontId="17" fillId="32" borderId="0" applyNumberFormat="0" applyBorder="0" applyAlignment="0" applyProtection="0"/>
    <xf numFmtId="170" fontId="24" fillId="40" borderId="0" applyNumberFormat="0" applyBorder="0" applyAlignment="0" applyProtection="0"/>
    <xf numFmtId="170" fontId="25" fillId="32" borderId="0" applyNumberFormat="0" applyBorder="0" applyAlignment="0" applyProtection="0"/>
    <xf numFmtId="170" fontId="17" fillId="32" borderId="0" applyNumberFormat="0" applyBorder="0" applyAlignment="0" applyProtection="0"/>
    <xf numFmtId="170" fontId="24" fillId="40" borderId="0" applyNumberFormat="0" applyBorder="0" applyAlignment="0" applyProtection="0"/>
    <xf numFmtId="170" fontId="25" fillId="32" borderId="0" applyNumberFormat="0" applyBorder="0" applyAlignment="0" applyProtection="0"/>
    <xf numFmtId="170" fontId="17" fillId="9" borderId="0" applyNumberFormat="0" applyBorder="0" applyAlignment="0" applyProtection="0"/>
    <xf numFmtId="170" fontId="24" fillId="9" borderId="0" applyNumberFormat="0" applyBorder="0" applyAlignment="0" applyProtection="0"/>
    <xf numFmtId="170" fontId="25" fillId="9" borderId="0" applyNumberFormat="0" applyBorder="0" applyAlignment="0" applyProtection="0"/>
    <xf numFmtId="170" fontId="17" fillId="9" borderId="0" applyNumberFormat="0" applyBorder="0" applyAlignment="0" applyProtection="0"/>
    <xf numFmtId="170" fontId="24" fillId="9" borderId="0" applyNumberFormat="0" applyBorder="0" applyAlignment="0" applyProtection="0"/>
    <xf numFmtId="170" fontId="25" fillId="9" borderId="0" applyNumberFormat="0" applyBorder="0" applyAlignment="0" applyProtection="0"/>
    <xf numFmtId="170" fontId="17" fillId="13" borderId="0" applyNumberFormat="0" applyBorder="0" applyAlignment="0" applyProtection="0"/>
    <xf numFmtId="170" fontId="24" fillId="13" borderId="0" applyNumberFormat="0" applyBorder="0" applyAlignment="0" applyProtection="0"/>
    <xf numFmtId="170" fontId="25" fillId="13" borderId="0" applyNumberFormat="0" applyBorder="0" applyAlignment="0" applyProtection="0"/>
    <xf numFmtId="170" fontId="17" fillId="13" borderId="0" applyNumberFormat="0" applyBorder="0" applyAlignment="0" applyProtection="0"/>
    <xf numFmtId="170" fontId="24" fillId="13" borderId="0" applyNumberFormat="0" applyBorder="0" applyAlignment="0" applyProtection="0"/>
    <xf numFmtId="170" fontId="25" fillId="13" borderId="0" applyNumberFormat="0" applyBorder="0" applyAlignment="0" applyProtection="0"/>
    <xf numFmtId="170" fontId="17" fillId="17" borderId="0" applyNumberFormat="0" applyBorder="0" applyAlignment="0" applyProtection="0"/>
    <xf numFmtId="170" fontId="24" fillId="17" borderId="0" applyNumberFormat="0" applyBorder="0" applyAlignment="0" applyProtection="0"/>
    <xf numFmtId="170" fontId="25" fillId="17" borderId="0" applyNumberFormat="0" applyBorder="0" applyAlignment="0" applyProtection="0"/>
    <xf numFmtId="170" fontId="17" fillId="17" borderId="0" applyNumberFormat="0" applyBorder="0" applyAlignment="0" applyProtection="0"/>
    <xf numFmtId="170" fontId="24" fillId="17" borderId="0" applyNumberFormat="0" applyBorder="0" applyAlignment="0" applyProtection="0"/>
    <xf numFmtId="170" fontId="25" fillId="17" borderId="0" applyNumberFormat="0" applyBorder="0" applyAlignment="0" applyProtection="0"/>
    <xf numFmtId="170" fontId="17" fillId="21" borderId="0" applyNumberFormat="0" applyBorder="0" applyAlignment="0" applyProtection="0"/>
    <xf numFmtId="170" fontId="24" fillId="21" borderId="0" applyNumberFormat="0" applyBorder="0" applyAlignment="0" applyProtection="0"/>
    <xf numFmtId="170" fontId="25" fillId="21" borderId="0" applyNumberFormat="0" applyBorder="0" applyAlignment="0" applyProtection="0"/>
    <xf numFmtId="170" fontId="17" fillId="21" borderId="0" applyNumberFormat="0" applyBorder="0" applyAlignment="0" applyProtection="0"/>
    <xf numFmtId="170" fontId="24" fillId="21" borderId="0" applyNumberFormat="0" applyBorder="0" applyAlignment="0" applyProtection="0"/>
    <xf numFmtId="170" fontId="25" fillId="21" borderId="0" applyNumberFormat="0" applyBorder="0" applyAlignment="0" applyProtection="0"/>
    <xf numFmtId="170" fontId="17" fillId="25" borderId="0" applyNumberFormat="0" applyBorder="0" applyAlignment="0" applyProtection="0"/>
    <xf numFmtId="170" fontId="24" fillId="25" borderId="0" applyNumberFormat="0" applyBorder="0" applyAlignment="0" applyProtection="0"/>
    <xf numFmtId="170" fontId="25" fillId="25" borderId="0" applyNumberFormat="0" applyBorder="0" applyAlignment="0" applyProtection="0"/>
    <xf numFmtId="170" fontId="17" fillId="25" borderId="0" applyNumberFormat="0" applyBorder="0" applyAlignment="0" applyProtection="0"/>
    <xf numFmtId="170" fontId="24" fillId="25" borderId="0" applyNumberFormat="0" applyBorder="0" applyAlignment="0" applyProtection="0"/>
    <xf numFmtId="170" fontId="25" fillId="25" borderId="0" applyNumberFormat="0" applyBorder="0" applyAlignment="0" applyProtection="0"/>
    <xf numFmtId="170" fontId="17" fillId="29" borderId="0" applyNumberFormat="0" applyBorder="0" applyAlignment="0" applyProtection="0"/>
    <xf numFmtId="170" fontId="24" fillId="29" borderId="0" applyNumberFormat="0" applyBorder="0" applyAlignment="0" applyProtection="0"/>
    <xf numFmtId="170" fontId="25" fillId="29" borderId="0" applyNumberFormat="0" applyBorder="0" applyAlignment="0" applyProtection="0"/>
    <xf numFmtId="170" fontId="17" fillId="29" borderId="0" applyNumberFormat="0" applyBorder="0" applyAlignment="0" applyProtection="0"/>
    <xf numFmtId="170" fontId="24" fillId="29" borderId="0" applyNumberFormat="0" applyBorder="0" applyAlignment="0" applyProtection="0"/>
    <xf numFmtId="170" fontId="25" fillId="29" borderId="0" applyNumberFormat="0" applyBorder="0" applyAlignment="0" applyProtection="0"/>
    <xf numFmtId="171" fontId="26" fillId="0" borderId="0"/>
    <xf numFmtId="170" fontId="7" fillId="3" borderId="0" applyNumberFormat="0" applyBorder="0" applyAlignment="0" applyProtection="0"/>
    <xf numFmtId="170" fontId="27" fillId="3" borderId="0" applyNumberFormat="0" applyBorder="0" applyAlignment="0" applyProtection="0"/>
    <xf numFmtId="170" fontId="28" fillId="3" borderId="0" applyNumberFormat="0" applyBorder="0" applyAlignment="0" applyProtection="0"/>
    <xf numFmtId="170" fontId="7" fillId="3" borderId="0" applyNumberFormat="0" applyBorder="0" applyAlignment="0" applyProtection="0"/>
    <xf numFmtId="170" fontId="27" fillId="3" borderId="0" applyNumberFormat="0" applyBorder="0" applyAlignment="0" applyProtection="0"/>
    <xf numFmtId="170" fontId="28" fillId="3" borderId="0" applyNumberFormat="0" applyBorder="0" applyAlignment="0" applyProtection="0"/>
    <xf numFmtId="170" fontId="11" fillId="6" borderId="4" applyNumberFormat="0" applyAlignment="0" applyProtection="0"/>
    <xf numFmtId="170" fontId="29" fillId="6" borderId="4" applyNumberFormat="0" applyAlignment="0" applyProtection="0"/>
    <xf numFmtId="170" fontId="30" fillId="6" borderId="4" applyNumberFormat="0" applyAlignment="0" applyProtection="0"/>
    <xf numFmtId="170" fontId="11" fillId="6" borderId="4" applyNumberFormat="0" applyAlignment="0" applyProtection="0"/>
    <xf numFmtId="170" fontId="29" fillId="6" borderId="4" applyNumberFormat="0" applyAlignment="0" applyProtection="0"/>
    <xf numFmtId="170" fontId="30" fillId="6" borderId="4" applyNumberFormat="0" applyAlignment="0" applyProtection="0"/>
    <xf numFmtId="170" fontId="13" fillId="7" borderId="7" applyNumberFormat="0" applyAlignment="0" applyProtection="0"/>
    <xf numFmtId="170" fontId="31" fillId="7" borderId="7" applyNumberFormat="0" applyAlignment="0" applyProtection="0"/>
    <xf numFmtId="170" fontId="32" fillId="7" borderId="7" applyNumberFormat="0" applyAlignment="0" applyProtection="0"/>
    <xf numFmtId="170" fontId="13" fillId="7" borderId="7" applyNumberFormat="0" applyAlignment="0" applyProtection="0"/>
    <xf numFmtId="170" fontId="31" fillId="7" borderId="7" applyNumberFormat="0" applyAlignment="0" applyProtection="0"/>
    <xf numFmtId="170" fontId="32" fillId="7" borderId="7" applyNumberFormat="0" applyAlignment="0" applyProtection="0"/>
    <xf numFmtId="166" fontId="1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165" fontId="1" fillId="0" borderId="0" applyFont="0" applyFill="0" applyBorder="0" applyAlignment="0" applyProtection="0"/>
    <xf numFmtId="172" fontId="33" fillId="0" borderId="0" applyFont="0" applyFill="0" applyBorder="0" applyAlignment="0" applyProtection="0"/>
    <xf numFmtId="172" fontId="33" fillId="0" borderId="0" applyFont="0" applyFill="0" applyBorder="0" applyAlignment="0" applyProtection="0"/>
    <xf numFmtId="172" fontId="33" fillId="0" borderId="0" applyFont="0" applyFill="0" applyBorder="0" applyAlignment="0" applyProtection="0"/>
    <xf numFmtId="172" fontId="33" fillId="0" borderId="0" applyFont="0" applyFill="0" applyBorder="0" applyAlignment="0" applyProtection="0"/>
    <xf numFmtId="172" fontId="33" fillId="0" borderId="0" applyFont="0" applyFill="0" applyBorder="0" applyAlignment="0" applyProtection="0"/>
    <xf numFmtId="172" fontId="33" fillId="0" borderId="0" applyFont="0" applyFill="0" applyBorder="0" applyAlignment="0" applyProtection="0"/>
    <xf numFmtId="172" fontId="33" fillId="0" borderId="0" applyFont="0" applyFill="0" applyBorder="0" applyAlignment="0" applyProtection="0"/>
    <xf numFmtId="172" fontId="33" fillId="0" borderId="0" applyFont="0" applyFill="0" applyBorder="0" applyAlignment="0" applyProtection="0"/>
    <xf numFmtId="172" fontId="33" fillId="0" borderId="0" applyFont="0" applyFill="0" applyBorder="0" applyAlignment="0" applyProtection="0"/>
    <xf numFmtId="172" fontId="33" fillId="0" borderId="0" applyFont="0" applyFill="0" applyBorder="0" applyAlignment="0" applyProtection="0"/>
    <xf numFmtId="172" fontId="33" fillId="0" borderId="0" applyFont="0" applyFill="0" applyBorder="0" applyAlignment="0" applyProtection="0"/>
    <xf numFmtId="172" fontId="33" fillId="0" borderId="0" applyFont="0" applyFill="0" applyBorder="0" applyAlignment="0" applyProtection="0"/>
    <xf numFmtId="40" fontId="34" fillId="0" borderId="0"/>
    <xf numFmtId="40" fontId="34" fillId="0" borderId="0"/>
    <xf numFmtId="40" fontId="34" fillId="0" borderId="0"/>
    <xf numFmtId="40" fontId="34" fillId="0" borderId="0"/>
    <xf numFmtId="40" fontId="34" fillId="0" borderId="0"/>
    <xf numFmtId="40" fontId="34" fillId="0" borderId="0"/>
    <xf numFmtId="40" fontId="34" fillId="0" borderId="0"/>
    <xf numFmtId="40" fontId="34" fillId="0" borderId="0"/>
    <xf numFmtId="40" fontId="35" fillId="0" borderId="0"/>
    <xf numFmtId="40" fontId="34" fillId="0" borderId="0"/>
    <xf numFmtId="40" fontId="34" fillId="0" borderId="0"/>
    <xf numFmtId="40" fontId="34" fillId="0" borderId="0"/>
    <xf numFmtId="40" fontId="34" fillId="0" borderId="0"/>
    <xf numFmtId="40" fontId="34" fillId="0" borderId="0"/>
    <xf numFmtId="40" fontId="34" fillId="0" borderId="0"/>
    <xf numFmtId="40" fontId="34" fillId="0" borderId="0"/>
    <xf numFmtId="40" fontId="34" fillId="0" borderId="0"/>
    <xf numFmtId="40" fontId="35" fillId="0" borderId="0"/>
    <xf numFmtId="173" fontId="33" fillId="0" borderId="0" applyFont="0" applyFill="0" applyBorder="0" applyAlignment="0" applyProtection="0"/>
    <xf numFmtId="174" fontId="36" fillId="0" borderId="0" applyFont="0" applyFill="0" applyBorder="0" applyAlignment="0" applyProtection="0"/>
    <xf numFmtId="173" fontId="33" fillId="0" borderId="0" applyFont="0" applyFill="0" applyBorder="0" applyAlignment="0" applyProtection="0"/>
    <xf numFmtId="174" fontId="36" fillId="0" borderId="0" applyFont="0" applyFill="0" applyBorder="0" applyAlignment="0" applyProtection="0"/>
    <xf numFmtId="173" fontId="33" fillId="0" borderId="0" applyFont="0" applyFill="0" applyBorder="0" applyAlignment="0" applyProtection="0"/>
    <xf numFmtId="174" fontId="36" fillId="0" borderId="0" applyFont="0" applyFill="0" applyBorder="0" applyAlignment="0" applyProtection="0"/>
    <xf numFmtId="174" fontId="37" fillId="0" borderId="0" applyFont="0" applyFill="0" applyBorder="0" applyAlignment="0" applyProtection="0"/>
    <xf numFmtId="174" fontId="36" fillId="0" borderId="0" applyFont="0" applyFill="0" applyBorder="0" applyAlignment="0" applyProtection="0"/>
    <xf numFmtId="174" fontId="37" fillId="0" borderId="0" applyFont="0" applyFill="0" applyBorder="0" applyAlignment="0" applyProtection="0"/>
    <xf numFmtId="174" fontId="37" fillId="0" borderId="0" applyFont="0" applyFill="0" applyBorder="0" applyAlignment="0" applyProtection="0"/>
    <xf numFmtId="174" fontId="36" fillId="0" borderId="0" applyFont="0" applyFill="0" applyBorder="0" applyAlignment="0" applyProtection="0"/>
    <xf numFmtId="174" fontId="37" fillId="0" borderId="0" applyFont="0" applyFill="0" applyBorder="0" applyAlignment="0" applyProtection="0"/>
    <xf numFmtId="174" fontId="36" fillId="0" borderId="0" applyFont="0" applyFill="0" applyBorder="0" applyAlignment="0" applyProtection="0"/>
    <xf numFmtId="174" fontId="37" fillId="0" borderId="0" applyFont="0" applyFill="0" applyBorder="0" applyAlignment="0" applyProtection="0"/>
    <xf numFmtId="173" fontId="33" fillId="0" borderId="0" applyFont="0" applyFill="0" applyBorder="0" applyAlignment="0" applyProtection="0"/>
    <xf numFmtId="174" fontId="36" fillId="0" borderId="0" applyFont="0" applyFill="0" applyBorder="0" applyAlignment="0" applyProtection="0"/>
    <xf numFmtId="174" fontId="37" fillId="0" borderId="0" applyFont="0" applyFill="0" applyBorder="0" applyAlignment="0" applyProtection="0"/>
    <xf numFmtId="174" fontId="36" fillId="0" borderId="0" applyFont="0" applyFill="0" applyBorder="0" applyAlignment="0" applyProtection="0"/>
    <xf numFmtId="173" fontId="33" fillId="0" borderId="0" applyFont="0" applyFill="0" applyBorder="0" applyAlignment="0" applyProtection="0"/>
    <xf numFmtId="173" fontId="33" fillId="0" borderId="0" applyFont="0" applyFill="0" applyBorder="0" applyAlignment="0" applyProtection="0"/>
    <xf numFmtId="174" fontId="37" fillId="0" borderId="0" applyFont="0" applyFill="0" applyBorder="0" applyAlignment="0" applyProtection="0"/>
    <xf numFmtId="173" fontId="33" fillId="0" borderId="0" applyFont="0" applyFill="0" applyBorder="0" applyAlignment="0" applyProtection="0"/>
    <xf numFmtId="174" fontId="36" fillId="0" borderId="0" applyFont="0" applyFill="0" applyBorder="0" applyAlignment="0" applyProtection="0"/>
    <xf numFmtId="174" fontId="37" fillId="0" borderId="0" applyFont="0" applyFill="0" applyBorder="0" applyAlignment="0" applyProtection="0"/>
    <xf numFmtId="174" fontId="37" fillId="0" borderId="0" applyFont="0" applyFill="0" applyBorder="0" applyAlignment="0" applyProtection="0"/>
    <xf numFmtId="174" fontId="36" fillId="0" borderId="0" applyFont="0" applyFill="0" applyBorder="0" applyAlignment="0" applyProtection="0"/>
    <xf numFmtId="174" fontId="37" fillId="0" borderId="0" applyFont="0" applyFill="0" applyBorder="0" applyAlignment="0" applyProtection="0"/>
    <xf numFmtId="173" fontId="38" fillId="0" borderId="0" applyFont="0" applyFill="0" applyBorder="0" applyAlignment="0" applyProtection="0"/>
    <xf numFmtId="173" fontId="33" fillId="0" borderId="0" applyFont="0" applyFill="0" applyBorder="0" applyAlignment="0" applyProtection="0"/>
    <xf numFmtId="173" fontId="33" fillId="0" borderId="0" applyFont="0" applyFill="0" applyBorder="0" applyAlignment="0" applyProtection="0"/>
    <xf numFmtId="173" fontId="33" fillId="0" borderId="0" applyFont="0" applyFill="0" applyBorder="0" applyAlignment="0" applyProtection="0"/>
    <xf numFmtId="173" fontId="33" fillId="0" borderId="0" applyFont="0" applyFill="0" applyBorder="0" applyAlignment="0" applyProtection="0"/>
    <xf numFmtId="173" fontId="33" fillId="0" borderId="0" applyFont="0" applyFill="0" applyBorder="0" applyAlignment="0" applyProtection="0"/>
    <xf numFmtId="173" fontId="33" fillId="0" borderId="0" applyFont="0" applyFill="0" applyBorder="0" applyAlignment="0" applyProtection="0"/>
    <xf numFmtId="173" fontId="33" fillId="0" borderId="0" applyFont="0" applyFill="0" applyBorder="0" applyAlignment="0" applyProtection="0"/>
    <xf numFmtId="173" fontId="38" fillId="0" borderId="0" applyFont="0" applyFill="0" applyBorder="0" applyAlignment="0" applyProtection="0"/>
    <xf numFmtId="173" fontId="33" fillId="0" borderId="0" applyFont="0" applyFill="0" applyBorder="0" applyAlignment="0" applyProtection="0"/>
    <xf numFmtId="173" fontId="38" fillId="0" borderId="0" applyFont="0" applyFill="0" applyBorder="0" applyAlignment="0" applyProtection="0"/>
    <xf numFmtId="174" fontId="36" fillId="0" borderId="0" applyFont="0" applyFill="0" applyBorder="0" applyAlignment="0" applyProtection="0"/>
    <xf numFmtId="173" fontId="38" fillId="0" borderId="0" applyFont="0" applyFill="0" applyBorder="0" applyAlignment="0" applyProtection="0"/>
    <xf numFmtId="174" fontId="36" fillId="0" borderId="0" applyFont="0" applyFill="0" applyBorder="0" applyAlignment="0" applyProtection="0"/>
    <xf numFmtId="174" fontId="37" fillId="0" borderId="0" applyFont="0" applyFill="0" applyBorder="0" applyAlignment="0" applyProtection="0"/>
    <xf numFmtId="174" fontId="36" fillId="0" borderId="0" applyFont="0" applyFill="0" applyBorder="0" applyAlignment="0" applyProtection="0"/>
    <xf numFmtId="174" fontId="37" fillId="0" borderId="0" applyFont="0" applyFill="0" applyBorder="0" applyAlignment="0" applyProtection="0"/>
    <xf numFmtId="174" fontId="37" fillId="0" borderId="0" applyFont="0" applyFill="0" applyBorder="0" applyAlignment="0" applyProtection="0"/>
    <xf numFmtId="174" fontId="36" fillId="0" borderId="0" applyFont="0" applyFill="0" applyBorder="0" applyAlignment="0" applyProtection="0"/>
    <xf numFmtId="174" fontId="37" fillId="0" borderId="0" applyFont="0" applyFill="0" applyBorder="0" applyAlignment="0" applyProtection="0"/>
    <xf numFmtId="174" fontId="36" fillId="0" borderId="0" applyFont="0" applyFill="0" applyBorder="0" applyAlignment="0" applyProtection="0"/>
    <xf numFmtId="174" fontId="37" fillId="0" borderId="0" applyFont="0" applyFill="0" applyBorder="0" applyAlignment="0" applyProtection="0"/>
    <xf numFmtId="173" fontId="38" fillId="0" borderId="0" applyFont="0" applyFill="0" applyBorder="0" applyAlignment="0" applyProtection="0"/>
    <xf numFmtId="173" fontId="33" fillId="0" borderId="0" applyFont="0" applyFill="0" applyBorder="0" applyAlignment="0" applyProtection="0"/>
    <xf numFmtId="173" fontId="33" fillId="0" borderId="0" applyFont="0" applyFill="0" applyBorder="0" applyAlignment="0" applyProtection="0"/>
    <xf numFmtId="174" fontId="36" fillId="0" borderId="0" applyFont="0" applyFill="0" applyBorder="0" applyAlignment="0" applyProtection="0"/>
    <xf numFmtId="174" fontId="37" fillId="0" borderId="0" applyFont="0" applyFill="0" applyBorder="0" applyAlignment="0" applyProtection="0"/>
    <xf numFmtId="173" fontId="38" fillId="0" borderId="0" applyFont="0" applyFill="0" applyBorder="0" applyAlignment="0" applyProtection="0"/>
    <xf numFmtId="174" fontId="36" fillId="0" borderId="0" applyFont="0" applyFill="0" applyBorder="0" applyAlignment="0" applyProtection="0"/>
    <xf numFmtId="173" fontId="38" fillId="0" borderId="0" applyFont="0" applyFill="0" applyBorder="0" applyAlignment="0" applyProtection="0"/>
    <xf numFmtId="174" fontId="37" fillId="0" borderId="0" applyFont="0" applyFill="0" applyBorder="0" applyAlignment="0" applyProtection="0"/>
    <xf numFmtId="173" fontId="38" fillId="0" borderId="0" applyFont="0" applyFill="0" applyBorder="0" applyAlignment="0" applyProtection="0"/>
    <xf numFmtId="173" fontId="38" fillId="0" borderId="0" applyFont="0" applyFill="0" applyBorder="0" applyAlignment="0" applyProtection="0"/>
    <xf numFmtId="173" fontId="38" fillId="0" borderId="0" applyFont="0" applyFill="0" applyBorder="0" applyAlignment="0" applyProtection="0"/>
    <xf numFmtId="173" fontId="38" fillId="0" borderId="0" applyFont="0" applyFill="0" applyBorder="0" applyAlignment="0" applyProtection="0"/>
    <xf numFmtId="174" fontId="36" fillId="0" borderId="0" applyFont="0" applyFill="0" applyBorder="0" applyAlignment="0" applyProtection="0"/>
    <xf numFmtId="174" fontId="37" fillId="0" borderId="0" applyFont="0" applyFill="0" applyBorder="0" applyAlignment="0" applyProtection="0"/>
    <xf numFmtId="173" fontId="33" fillId="0" borderId="0" applyFont="0" applyFill="0" applyBorder="0" applyAlignment="0" applyProtection="0"/>
    <xf numFmtId="173" fontId="38" fillId="0" borderId="0" applyFont="0" applyFill="0" applyBorder="0" applyAlignment="0" applyProtection="0"/>
    <xf numFmtId="173" fontId="38" fillId="0" borderId="0" applyFont="0" applyFill="0" applyBorder="0" applyAlignment="0" applyProtection="0"/>
    <xf numFmtId="173" fontId="38" fillId="0" borderId="0" applyFont="0" applyFill="0" applyBorder="0" applyAlignment="0" applyProtection="0"/>
    <xf numFmtId="173" fontId="38" fillId="0" borderId="0" applyFont="0" applyFill="0" applyBorder="0" applyAlignment="0" applyProtection="0"/>
    <xf numFmtId="173" fontId="33" fillId="0" borderId="0" applyFont="0" applyFill="0" applyBorder="0" applyAlignment="0" applyProtection="0"/>
    <xf numFmtId="173" fontId="38" fillId="0" borderId="0" applyFont="0" applyFill="0" applyBorder="0" applyAlignment="0" applyProtection="0"/>
    <xf numFmtId="173" fontId="38" fillId="0" borderId="0" applyFont="0" applyFill="0" applyBorder="0" applyAlignment="0" applyProtection="0"/>
    <xf numFmtId="173" fontId="38" fillId="0" borderId="0" applyFont="0" applyFill="0" applyBorder="0" applyAlignment="0" applyProtection="0"/>
    <xf numFmtId="173" fontId="38" fillId="0" borderId="0" applyFont="0" applyFill="0" applyBorder="0" applyAlignment="0" applyProtection="0"/>
    <xf numFmtId="173" fontId="33" fillId="0" borderId="0" applyFont="0" applyFill="0" applyBorder="0" applyAlignment="0" applyProtection="0"/>
    <xf numFmtId="173" fontId="33" fillId="0" borderId="0" applyFont="0" applyFill="0" applyBorder="0" applyAlignment="0" applyProtection="0"/>
    <xf numFmtId="173" fontId="38" fillId="0" borderId="0" applyFont="0" applyFill="0" applyBorder="0" applyAlignment="0" applyProtection="0"/>
    <xf numFmtId="170" fontId="15" fillId="0" borderId="0" applyNumberFormat="0" applyFill="0" applyBorder="0" applyAlignment="0" applyProtection="0"/>
    <xf numFmtId="170" fontId="39" fillId="0" borderId="0" applyNumberFormat="0" applyFill="0" applyBorder="0" applyAlignment="0" applyProtection="0"/>
    <xf numFmtId="170" fontId="40" fillId="0" borderId="0" applyNumberFormat="0" applyFill="0" applyBorder="0" applyAlignment="0" applyProtection="0"/>
    <xf numFmtId="170" fontId="15" fillId="0" borderId="0" applyNumberFormat="0" applyFill="0" applyBorder="0" applyAlignment="0" applyProtection="0"/>
    <xf numFmtId="170" fontId="39" fillId="0" borderId="0" applyNumberFormat="0" applyFill="0" applyBorder="0" applyAlignment="0" applyProtection="0"/>
    <xf numFmtId="170" fontId="40" fillId="0" borderId="0" applyNumberFormat="0" applyFill="0" applyBorder="0" applyAlignment="0" applyProtection="0"/>
    <xf numFmtId="175" fontId="41" fillId="0" borderId="0"/>
    <xf numFmtId="175" fontId="41" fillId="0" borderId="0"/>
    <xf numFmtId="175" fontId="41" fillId="0" borderId="0"/>
    <xf numFmtId="175" fontId="41" fillId="0" borderId="0"/>
    <xf numFmtId="175" fontId="41" fillId="0" borderId="0"/>
    <xf numFmtId="175" fontId="41" fillId="0" borderId="0"/>
    <xf numFmtId="175" fontId="41" fillId="0" borderId="0"/>
    <xf numFmtId="175" fontId="41" fillId="0" borderId="0"/>
    <xf numFmtId="175" fontId="41" fillId="0" borderId="0"/>
    <xf numFmtId="175" fontId="41" fillId="0" borderId="0"/>
    <xf numFmtId="175" fontId="41" fillId="0" borderId="0"/>
    <xf numFmtId="170" fontId="6" fillId="2" borderId="0" applyNumberFormat="0" applyBorder="0" applyAlignment="0" applyProtection="0"/>
    <xf numFmtId="170" fontId="42" fillId="2" borderId="0" applyNumberFormat="0" applyBorder="0" applyAlignment="0" applyProtection="0"/>
    <xf numFmtId="170" fontId="43" fillId="2" borderId="0" applyNumberFormat="0" applyBorder="0" applyAlignment="0" applyProtection="0"/>
    <xf numFmtId="170" fontId="6" fillId="2" borderId="0" applyNumberFormat="0" applyBorder="0" applyAlignment="0" applyProtection="0"/>
    <xf numFmtId="170" fontId="42" fillId="2" borderId="0" applyNumberFormat="0" applyBorder="0" applyAlignment="0" applyProtection="0"/>
    <xf numFmtId="170" fontId="43" fillId="2" borderId="0" applyNumberFormat="0" applyBorder="0" applyAlignment="0" applyProtection="0"/>
    <xf numFmtId="170" fontId="3" fillId="0" borderId="1" applyNumberFormat="0" applyFill="0" applyAlignment="0" applyProtection="0"/>
    <xf numFmtId="170" fontId="44" fillId="0" borderId="1" applyNumberFormat="0" applyFill="0" applyAlignment="0" applyProtection="0"/>
    <xf numFmtId="170" fontId="45" fillId="0" borderId="1" applyNumberFormat="0" applyFill="0" applyAlignment="0" applyProtection="0"/>
    <xf numFmtId="170" fontId="3" fillId="0" borderId="1" applyNumberFormat="0" applyFill="0" applyAlignment="0" applyProtection="0"/>
    <xf numFmtId="170" fontId="44" fillId="0" borderId="1" applyNumberFormat="0" applyFill="0" applyAlignment="0" applyProtection="0"/>
    <xf numFmtId="170" fontId="45" fillId="0" borderId="1" applyNumberFormat="0" applyFill="0" applyAlignment="0" applyProtection="0"/>
    <xf numFmtId="170" fontId="4" fillId="0" borderId="2" applyNumberFormat="0" applyFill="0" applyAlignment="0" applyProtection="0"/>
    <xf numFmtId="170" fontId="46" fillId="0" borderId="2" applyNumberFormat="0" applyFill="0" applyAlignment="0" applyProtection="0"/>
    <xf numFmtId="170" fontId="47" fillId="0" borderId="2" applyNumberFormat="0" applyFill="0" applyAlignment="0" applyProtection="0"/>
    <xf numFmtId="170" fontId="4" fillId="0" borderId="2" applyNumberFormat="0" applyFill="0" applyAlignment="0" applyProtection="0"/>
    <xf numFmtId="170" fontId="46" fillId="0" borderId="2" applyNumberFormat="0" applyFill="0" applyAlignment="0" applyProtection="0"/>
    <xf numFmtId="170" fontId="47" fillId="0" borderId="2" applyNumberFormat="0" applyFill="0" applyAlignment="0" applyProtection="0"/>
    <xf numFmtId="170" fontId="5" fillId="0" borderId="3" applyNumberFormat="0" applyFill="0" applyAlignment="0" applyProtection="0"/>
    <xf numFmtId="170" fontId="48" fillId="0" borderId="3" applyNumberFormat="0" applyFill="0" applyAlignment="0" applyProtection="0"/>
    <xf numFmtId="170" fontId="49" fillId="0" borderId="3" applyNumberFormat="0" applyFill="0" applyAlignment="0" applyProtection="0"/>
    <xf numFmtId="170" fontId="5" fillId="0" borderId="3" applyNumberFormat="0" applyFill="0" applyAlignment="0" applyProtection="0"/>
    <xf numFmtId="170" fontId="48" fillId="0" borderId="3" applyNumberFormat="0" applyFill="0" applyAlignment="0" applyProtection="0"/>
    <xf numFmtId="170" fontId="49" fillId="0" borderId="3" applyNumberFormat="0" applyFill="0" applyAlignment="0" applyProtection="0"/>
    <xf numFmtId="170" fontId="5" fillId="0" borderId="0" applyNumberFormat="0" applyFill="0" applyBorder="0" applyAlignment="0" applyProtection="0"/>
    <xf numFmtId="170" fontId="48" fillId="0" borderId="0" applyNumberFormat="0" applyFill="0" applyBorder="0" applyAlignment="0" applyProtection="0"/>
    <xf numFmtId="170" fontId="49" fillId="0" borderId="0" applyNumberFormat="0" applyFill="0" applyBorder="0" applyAlignment="0" applyProtection="0"/>
    <xf numFmtId="170" fontId="5" fillId="0" borderId="0" applyNumberFormat="0" applyFill="0" applyBorder="0" applyAlignment="0" applyProtection="0"/>
    <xf numFmtId="170" fontId="48" fillId="0" borderId="0" applyNumberFormat="0" applyFill="0" applyBorder="0" applyAlignment="0" applyProtection="0"/>
    <xf numFmtId="170" fontId="49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170" fontId="9" fillId="5" borderId="4" applyNumberFormat="0" applyAlignment="0" applyProtection="0"/>
    <xf numFmtId="170" fontId="52" fillId="5" borderId="4" applyNumberFormat="0" applyAlignment="0" applyProtection="0"/>
    <xf numFmtId="170" fontId="53" fillId="5" borderId="4" applyNumberFormat="0" applyAlignment="0" applyProtection="0"/>
    <xf numFmtId="170" fontId="9" fillId="5" borderId="4" applyNumberFormat="0" applyAlignment="0" applyProtection="0"/>
    <xf numFmtId="170" fontId="52" fillId="5" borderId="4" applyNumberFormat="0" applyAlignment="0" applyProtection="0"/>
    <xf numFmtId="170" fontId="53" fillId="5" borderId="4" applyNumberFormat="0" applyAlignment="0" applyProtection="0"/>
    <xf numFmtId="166" fontId="33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0" fontId="12" fillId="0" borderId="6" applyNumberFormat="0" applyFill="0" applyAlignment="0" applyProtection="0"/>
    <xf numFmtId="170" fontId="54" fillId="0" borderId="6" applyNumberFormat="0" applyFill="0" applyAlignment="0" applyProtection="0"/>
    <xf numFmtId="170" fontId="55" fillId="0" borderId="6" applyNumberFormat="0" applyFill="0" applyAlignment="0" applyProtection="0"/>
    <xf numFmtId="170" fontId="12" fillId="0" borderId="6" applyNumberFormat="0" applyFill="0" applyAlignment="0" applyProtection="0"/>
    <xf numFmtId="170" fontId="54" fillId="0" borderId="6" applyNumberFormat="0" applyFill="0" applyAlignment="0" applyProtection="0"/>
    <xf numFmtId="170" fontId="55" fillId="0" borderId="6" applyNumberFormat="0" applyFill="0" applyAlignment="0" applyProtection="0"/>
    <xf numFmtId="175" fontId="41" fillId="0" borderId="0"/>
    <xf numFmtId="175" fontId="41" fillId="0" borderId="0"/>
    <xf numFmtId="175" fontId="41" fillId="0" borderId="0"/>
    <xf numFmtId="175" fontId="41" fillId="0" borderId="0"/>
    <xf numFmtId="175" fontId="41" fillId="0" borderId="0"/>
    <xf numFmtId="175" fontId="41" fillId="0" borderId="0"/>
    <xf numFmtId="175" fontId="41" fillId="0" borderId="0"/>
    <xf numFmtId="175" fontId="41" fillId="0" borderId="0"/>
    <xf numFmtId="175" fontId="41" fillId="0" borderId="0"/>
    <xf numFmtId="175" fontId="41" fillId="0" borderId="0"/>
    <xf numFmtId="175" fontId="41" fillId="0" borderId="0"/>
    <xf numFmtId="38" fontId="56" fillId="0" borderId="0"/>
    <xf numFmtId="176" fontId="33" fillId="0" borderId="0" applyFont="0" applyFill="0" applyBorder="0" applyAlignment="0" applyProtection="0"/>
    <xf numFmtId="177" fontId="33" fillId="0" borderId="0" applyFont="0" applyFill="0" applyBorder="0" applyAlignment="0" applyProtection="0"/>
    <xf numFmtId="177" fontId="33" fillId="0" borderId="0" applyFont="0" applyFill="0" applyBorder="0" applyAlignment="0" applyProtection="0"/>
    <xf numFmtId="177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170" fontId="8" fillId="4" borderId="0" applyNumberFormat="0" applyBorder="0" applyAlignment="0" applyProtection="0"/>
    <xf numFmtId="170" fontId="57" fillId="4" borderId="0" applyNumberFormat="0" applyBorder="0" applyAlignment="0" applyProtection="0"/>
    <xf numFmtId="170" fontId="58" fillId="4" borderId="0" applyNumberFormat="0" applyBorder="0" applyAlignment="0" applyProtection="0"/>
    <xf numFmtId="170" fontId="8" fillId="4" borderId="0" applyNumberFormat="0" applyBorder="0" applyAlignment="0" applyProtection="0"/>
    <xf numFmtId="170" fontId="57" fillId="4" borderId="0" applyNumberFormat="0" applyBorder="0" applyAlignment="0" applyProtection="0"/>
    <xf numFmtId="170" fontId="58" fillId="4" borderId="0" applyNumberFormat="0" applyBorder="0" applyAlignment="0" applyProtection="0"/>
    <xf numFmtId="0" fontId="33" fillId="0" borderId="0"/>
    <xf numFmtId="179" fontId="33" fillId="0" borderId="0"/>
    <xf numFmtId="179" fontId="33" fillId="0" borderId="0"/>
    <xf numFmtId="179" fontId="33" fillId="0" borderId="0"/>
    <xf numFmtId="170" fontId="1" fillId="0" borderId="0"/>
    <xf numFmtId="170" fontId="22" fillId="0" borderId="0"/>
    <xf numFmtId="170" fontId="23" fillId="0" borderId="0"/>
    <xf numFmtId="0" fontId="1" fillId="0" borderId="0"/>
    <xf numFmtId="0" fontId="33" fillId="0" borderId="0"/>
    <xf numFmtId="179" fontId="33" fillId="0" borderId="0"/>
    <xf numFmtId="179" fontId="33" fillId="0" borderId="0"/>
    <xf numFmtId="179" fontId="33" fillId="0" borderId="0"/>
    <xf numFmtId="179" fontId="33" fillId="0" borderId="0"/>
    <xf numFmtId="179" fontId="33" fillId="0" borderId="0"/>
    <xf numFmtId="179" fontId="33" fillId="0" borderId="0"/>
    <xf numFmtId="170" fontId="33" fillId="0" borderId="0"/>
    <xf numFmtId="170" fontId="33" fillId="0" borderId="0"/>
    <xf numFmtId="0" fontId="33" fillId="0" borderId="0"/>
    <xf numFmtId="0" fontId="33" fillId="0" borderId="0"/>
    <xf numFmtId="0" fontId="34" fillId="0" borderId="0"/>
    <xf numFmtId="179" fontId="33" fillId="0" borderId="0"/>
    <xf numFmtId="0" fontId="33" fillId="0" borderId="0"/>
    <xf numFmtId="179" fontId="33" fillId="0" borderId="0"/>
    <xf numFmtId="0" fontId="33" fillId="0" borderId="0"/>
    <xf numFmtId="0" fontId="33" fillId="0" borderId="0"/>
    <xf numFmtId="179" fontId="33" fillId="0" borderId="0"/>
    <xf numFmtId="0" fontId="33" fillId="0" borderId="0"/>
    <xf numFmtId="179" fontId="33" fillId="0" borderId="0"/>
    <xf numFmtId="179" fontId="33" fillId="0" borderId="0"/>
    <xf numFmtId="179" fontId="33" fillId="0" borderId="0"/>
    <xf numFmtId="0" fontId="33" fillId="0" borderId="0"/>
    <xf numFmtId="0" fontId="1" fillId="0" borderId="0"/>
    <xf numFmtId="179" fontId="33" fillId="0" borderId="0"/>
    <xf numFmtId="179" fontId="33" fillId="0" borderId="0"/>
    <xf numFmtId="179" fontId="33" fillId="0" borderId="0"/>
    <xf numFmtId="179" fontId="33" fillId="0" borderId="0"/>
    <xf numFmtId="170" fontId="33" fillId="0" borderId="0"/>
    <xf numFmtId="170" fontId="33" fillId="0" borderId="0"/>
    <xf numFmtId="0" fontId="22" fillId="0" borderId="0"/>
    <xf numFmtId="0" fontId="23" fillId="0" borderId="0"/>
    <xf numFmtId="0" fontId="1" fillId="0" borderId="0"/>
    <xf numFmtId="179" fontId="33" fillId="0" borderId="0"/>
    <xf numFmtId="0" fontId="1" fillId="0" borderId="0"/>
    <xf numFmtId="179" fontId="33" fillId="0" borderId="0"/>
    <xf numFmtId="0" fontId="22" fillId="0" borderId="0"/>
    <xf numFmtId="0" fontId="23" fillId="0" borderId="0"/>
    <xf numFmtId="179" fontId="33" fillId="0" borderId="0"/>
    <xf numFmtId="0" fontId="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179" fontId="33" fillId="0" borderId="0"/>
    <xf numFmtId="0" fontId="1" fillId="0" borderId="0"/>
    <xf numFmtId="179" fontId="33" fillId="0" borderId="0"/>
    <xf numFmtId="179" fontId="33" fillId="0" borderId="0"/>
    <xf numFmtId="0" fontId="22" fillId="0" borderId="0"/>
    <xf numFmtId="0" fontId="23" fillId="0" borderId="0"/>
    <xf numFmtId="0" fontId="1" fillId="0" borderId="0"/>
    <xf numFmtId="0" fontId="22" fillId="0" borderId="0"/>
    <xf numFmtId="0" fontId="23" fillId="0" borderId="0"/>
    <xf numFmtId="179" fontId="33" fillId="0" borderId="0"/>
    <xf numFmtId="0" fontId="1" fillId="0" borderId="0"/>
    <xf numFmtId="179" fontId="33" fillId="0" borderId="0"/>
    <xf numFmtId="179" fontId="33" fillId="0" borderId="0"/>
    <xf numFmtId="0" fontId="22" fillId="0" borderId="0"/>
    <xf numFmtId="0" fontId="23" fillId="0" borderId="0"/>
    <xf numFmtId="0" fontId="1" fillId="0" borderId="0"/>
    <xf numFmtId="0" fontId="22" fillId="0" borderId="0"/>
    <xf numFmtId="0" fontId="23" fillId="0" borderId="0"/>
    <xf numFmtId="179" fontId="33" fillId="0" borderId="0"/>
    <xf numFmtId="0" fontId="1" fillId="0" borderId="0"/>
    <xf numFmtId="179" fontId="33" fillId="0" borderId="0"/>
    <xf numFmtId="179" fontId="33" fillId="0" borderId="0"/>
    <xf numFmtId="0" fontId="22" fillId="0" borderId="0"/>
    <xf numFmtId="0" fontId="23" fillId="0" borderId="0"/>
    <xf numFmtId="0" fontId="1" fillId="0" borderId="0"/>
    <xf numFmtId="0" fontId="22" fillId="0" borderId="0"/>
    <xf numFmtId="0" fontId="23" fillId="0" borderId="0"/>
    <xf numFmtId="0" fontId="33" fillId="0" borderId="0"/>
    <xf numFmtId="0" fontId="1" fillId="0" borderId="0"/>
    <xf numFmtId="0" fontId="22" fillId="0" borderId="0"/>
    <xf numFmtId="0" fontId="23" fillId="0" borderId="0"/>
    <xf numFmtId="0" fontId="1" fillId="0" borderId="0"/>
    <xf numFmtId="0" fontId="22" fillId="0" borderId="0"/>
    <xf numFmtId="0" fontId="23" fillId="0" borderId="0"/>
    <xf numFmtId="0" fontId="33" fillId="0" borderId="0"/>
    <xf numFmtId="179" fontId="33" fillId="0" borderId="0"/>
    <xf numFmtId="179" fontId="33" fillId="0" borderId="0"/>
    <xf numFmtId="179" fontId="33" fillId="0" borderId="0"/>
    <xf numFmtId="0" fontId="59" fillId="0" borderId="0"/>
    <xf numFmtId="0" fontId="33" fillId="0" borderId="0"/>
    <xf numFmtId="0" fontId="59" fillId="0" borderId="0"/>
    <xf numFmtId="0" fontId="33" fillId="0" borderId="0"/>
    <xf numFmtId="0" fontId="59" fillId="0" borderId="0"/>
    <xf numFmtId="170" fontId="59" fillId="0" borderId="0"/>
    <xf numFmtId="170" fontId="59" fillId="0" borderId="0"/>
    <xf numFmtId="170" fontId="59" fillId="0" borderId="0"/>
    <xf numFmtId="170" fontId="59" fillId="0" borderId="0"/>
    <xf numFmtId="0" fontId="38" fillId="0" borderId="0"/>
    <xf numFmtId="0" fontId="33" fillId="0" borderId="0"/>
    <xf numFmtId="0" fontId="33" fillId="0" borderId="0"/>
    <xf numFmtId="170" fontId="33" fillId="0" borderId="0"/>
    <xf numFmtId="170" fontId="33" fillId="0" borderId="0"/>
    <xf numFmtId="0" fontId="38" fillId="0" borderId="0"/>
    <xf numFmtId="0" fontId="33" fillId="0" borderId="0"/>
    <xf numFmtId="0" fontId="33" fillId="0" borderId="0"/>
    <xf numFmtId="0" fontId="38" fillId="0" borderId="0"/>
    <xf numFmtId="0" fontId="33" fillId="0" borderId="0"/>
    <xf numFmtId="0" fontId="33" fillId="0" borderId="0"/>
    <xf numFmtId="0" fontId="38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179" fontId="33" fillId="0" borderId="0"/>
    <xf numFmtId="179" fontId="33" fillId="0" borderId="0"/>
    <xf numFmtId="179" fontId="33" fillId="0" borderId="0"/>
    <xf numFmtId="0" fontId="33" fillId="0" borderId="0"/>
    <xf numFmtId="0" fontId="60" fillId="8" borderId="8" applyNumberFormat="0" applyFont="0" applyAlignment="0" applyProtection="0"/>
    <xf numFmtId="170" fontId="60" fillId="8" borderId="8" applyNumberFormat="0" applyFont="0" applyAlignment="0" applyProtection="0"/>
    <xf numFmtId="170" fontId="61" fillId="8" borderId="8" applyNumberFormat="0" applyFont="0" applyAlignment="0" applyProtection="0"/>
    <xf numFmtId="170" fontId="1" fillId="8" borderId="8" applyNumberFormat="0" applyFont="0" applyAlignment="0" applyProtection="0"/>
    <xf numFmtId="170" fontId="23" fillId="8" borderId="8" applyNumberFormat="0" applyFont="0" applyAlignment="0" applyProtection="0"/>
    <xf numFmtId="0" fontId="6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23" fillId="8" borderId="8" applyNumberFormat="0" applyFont="0" applyAlignment="0" applyProtection="0"/>
    <xf numFmtId="0" fontId="60" fillId="8" borderId="8" applyNumberFormat="0" applyFont="0" applyAlignment="0" applyProtection="0"/>
    <xf numFmtId="170" fontId="60" fillId="8" borderId="8" applyNumberFormat="0" applyFont="0" applyAlignment="0" applyProtection="0"/>
    <xf numFmtId="170" fontId="61" fillId="8" borderId="8" applyNumberFormat="0" applyFont="0" applyAlignment="0" applyProtection="0"/>
    <xf numFmtId="170" fontId="1" fillId="8" borderId="8" applyNumberFormat="0" applyFont="0" applyAlignment="0" applyProtection="0"/>
    <xf numFmtId="170" fontId="23" fillId="8" borderId="8" applyNumberFormat="0" applyFont="0" applyAlignment="0" applyProtection="0"/>
    <xf numFmtId="0" fontId="6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23" fillId="8" borderId="8" applyNumberFormat="0" applyFont="0" applyAlignment="0" applyProtection="0"/>
    <xf numFmtId="0" fontId="60" fillId="8" borderId="8" applyNumberFormat="0" applyFont="0" applyAlignment="0" applyProtection="0"/>
    <xf numFmtId="0" fontId="6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23" fillId="8" borderId="8" applyNumberFormat="0" applyFont="0" applyAlignment="0" applyProtection="0"/>
    <xf numFmtId="0" fontId="60" fillId="8" borderId="8" applyNumberFormat="0" applyFont="0" applyAlignment="0" applyProtection="0"/>
    <xf numFmtId="0" fontId="6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23" fillId="8" borderId="8" applyNumberFormat="0" applyFont="0" applyAlignment="0" applyProtection="0"/>
    <xf numFmtId="0" fontId="60" fillId="8" borderId="8" applyNumberFormat="0" applyFont="0" applyAlignment="0" applyProtection="0"/>
    <xf numFmtId="0" fontId="61" fillId="8" borderId="8" applyNumberFormat="0" applyFont="0" applyAlignment="0" applyProtection="0"/>
    <xf numFmtId="0" fontId="1" fillId="8" borderId="8" applyNumberFormat="0" applyFont="0" applyAlignment="0" applyProtection="0"/>
    <xf numFmtId="0" fontId="23" fillId="8" borderId="8" applyNumberFormat="0" applyFont="0" applyAlignment="0" applyProtection="0"/>
    <xf numFmtId="170" fontId="10" fillId="6" borderId="5" applyNumberFormat="0" applyAlignment="0" applyProtection="0"/>
    <xf numFmtId="170" fontId="62" fillId="6" borderId="5" applyNumberFormat="0" applyAlignment="0" applyProtection="0"/>
    <xf numFmtId="170" fontId="63" fillId="6" borderId="5" applyNumberFormat="0" applyAlignment="0" applyProtection="0"/>
    <xf numFmtId="170" fontId="10" fillId="6" borderId="5" applyNumberFormat="0" applyAlignment="0" applyProtection="0"/>
    <xf numFmtId="170" fontId="62" fillId="6" borderId="5" applyNumberFormat="0" applyAlignment="0" applyProtection="0"/>
    <xf numFmtId="170" fontId="63" fillId="6" borderId="5" applyNumberFormat="0" applyAlignment="0" applyProtection="0"/>
    <xf numFmtId="38" fontId="64" fillId="0" borderId="0"/>
    <xf numFmtId="38" fontId="64" fillId="0" borderId="0"/>
    <xf numFmtId="38" fontId="64" fillId="0" borderId="0"/>
    <xf numFmtId="38" fontId="64" fillId="0" borderId="0"/>
    <xf numFmtId="38" fontId="64" fillId="0" borderId="0"/>
    <xf numFmtId="38" fontId="64" fillId="0" borderId="0"/>
    <xf numFmtId="38" fontId="64" fillId="0" borderId="0"/>
    <xf numFmtId="38" fontId="64" fillId="0" borderId="0"/>
    <xf numFmtId="38" fontId="64" fillId="0" borderId="0"/>
    <xf numFmtId="38" fontId="64" fillId="0" borderId="0"/>
    <xf numFmtId="38" fontId="64" fillId="0" borderId="0"/>
    <xf numFmtId="171" fontId="65" fillId="0" borderId="0"/>
    <xf numFmtId="171" fontId="65" fillId="0" borderId="0"/>
    <xf numFmtId="171" fontId="65" fillId="0" borderId="0"/>
    <xf numFmtId="171" fontId="65" fillId="0" borderId="0"/>
    <xf numFmtId="171" fontId="65" fillId="0" borderId="0"/>
    <xf numFmtId="171" fontId="65" fillId="0" borderId="0"/>
    <xf numFmtId="171" fontId="65" fillId="0" borderId="0"/>
    <xf numFmtId="171" fontId="65" fillId="0" borderId="0"/>
    <xf numFmtId="171" fontId="65" fillId="0" borderId="0"/>
    <xf numFmtId="171" fontId="65" fillId="0" borderId="0"/>
    <xf numFmtId="171" fontId="65" fillId="0" borderId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66" fillId="0" borderId="0"/>
    <xf numFmtId="170" fontId="1" fillId="0" borderId="0"/>
    <xf numFmtId="170" fontId="22" fillId="0" borderId="0"/>
    <xf numFmtId="170" fontId="23" fillId="0" borderId="0"/>
    <xf numFmtId="0" fontId="22" fillId="0" borderId="0"/>
    <xf numFmtId="0" fontId="23" fillId="0" borderId="0"/>
    <xf numFmtId="0" fontId="1" fillId="0" borderId="0"/>
    <xf numFmtId="0" fontId="33" fillId="0" borderId="0"/>
    <xf numFmtId="0" fontId="1" fillId="0" borderId="0"/>
    <xf numFmtId="0" fontId="22" fillId="0" borderId="0"/>
    <xf numFmtId="0" fontId="23" fillId="0" borderId="0"/>
    <xf numFmtId="0" fontId="1" fillId="0" borderId="0"/>
    <xf numFmtId="0" fontId="22" fillId="0" borderId="0"/>
    <xf numFmtId="0" fontId="23" fillId="0" borderId="0"/>
    <xf numFmtId="0" fontId="1" fillId="0" borderId="0"/>
    <xf numFmtId="0" fontId="22" fillId="0" borderId="0"/>
    <xf numFmtId="0" fontId="23" fillId="0" borderId="0"/>
    <xf numFmtId="0" fontId="1" fillId="0" borderId="0"/>
    <xf numFmtId="0" fontId="22" fillId="0" borderId="0"/>
    <xf numFmtId="0" fontId="23" fillId="0" borderId="0"/>
    <xf numFmtId="0" fontId="1" fillId="0" borderId="0"/>
    <xf numFmtId="0" fontId="22" fillId="0" borderId="0"/>
    <xf numFmtId="0" fontId="23" fillId="0" borderId="0"/>
    <xf numFmtId="0" fontId="1" fillId="0" borderId="0"/>
    <xf numFmtId="0" fontId="22" fillId="0" borderId="0"/>
    <xf numFmtId="0" fontId="23" fillId="0" borderId="0"/>
    <xf numFmtId="0" fontId="1" fillId="0" borderId="0"/>
    <xf numFmtId="0" fontId="22" fillId="0" borderId="0"/>
    <xf numFmtId="0" fontId="23" fillId="0" borderId="0"/>
    <xf numFmtId="0" fontId="1" fillId="0" borderId="0"/>
    <xf numFmtId="0" fontId="22" fillId="0" borderId="0"/>
    <xf numFmtId="0" fontId="23" fillId="0" borderId="0"/>
    <xf numFmtId="0" fontId="33" fillId="0" borderId="0"/>
    <xf numFmtId="170" fontId="1" fillId="0" borderId="0"/>
    <xf numFmtId="170" fontId="22" fillId="0" borderId="0"/>
    <xf numFmtId="170" fontId="23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8" fillId="0" borderId="0"/>
    <xf numFmtId="1" fontId="64" fillId="0" borderId="0">
      <alignment horizontal="right"/>
    </xf>
    <xf numFmtId="1" fontId="64" fillId="0" borderId="0">
      <alignment horizontal="right"/>
    </xf>
    <xf numFmtId="1" fontId="64" fillId="0" borderId="0">
      <alignment horizontal="right"/>
    </xf>
    <xf numFmtId="1" fontId="64" fillId="0" borderId="0">
      <alignment horizontal="right"/>
    </xf>
    <xf numFmtId="1" fontId="64" fillId="0" borderId="0">
      <alignment horizontal="right"/>
    </xf>
    <xf numFmtId="1" fontId="64" fillId="0" borderId="0">
      <alignment horizontal="right"/>
    </xf>
    <xf numFmtId="1" fontId="64" fillId="0" borderId="0">
      <alignment horizontal="right"/>
    </xf>
    <xf numFmtId="1" fontId="64" fillId="0" borderId="0">
      <alignment horizontal="right"/>
    </xf>
    <xf numFmtId="1" fontId="64" fillId="0" borderId="0">
      <alignment horizontal="right"/>
    </xf>
    <xf numFmtId="1" fontId="64" fillId="0" borderId="0">
      <alignment horizontal="right"/>
    </xf>
    <xf numFmtId="1" fontId="64" fillId="0" borderId="0">
      <alignment horizontal="right"/>
    </xf>
    <xf numFmtId="1" fontId="64" fillId="0" borderId="0"/>
    <xf numFmtId="1" fontId="64" fillId="0" borderId="0"/>
    <xf numFmtId="1" fontId="64" fillId="0" borderId="0"/>
    <xf numFmtId="1" fontId="64" fillId="0" borderId="0"/>
    <xf numFmtId="1" fontId="64" fillId="0" borderId="0"/>
    <xf numFmtId="1" fontId="64" fillId="0" borderId="0"/>
    <xf numFmtId="1" fontId="64" fillId="0" borderId="0"/>
    <xf numFmtId="1" fontId="64" fillId="0" borderId="0"/>
    <xf numFmtId="1" fontId="64" fillId="0" borderId="0"/>
    <xf numFmtId="1" fontId="64" fillId="0" borderId="0"/>
    <xf numFmtId="1" fontId="64" fillId="0" borderId="0"/>
    <xf numFmtId="170" fontId="67" fillId="0" borderId="0" applyNumberFormat="0" applyFill="0" applyBorder="0" applyAlignment="0" applyProtection="0"/>
    <xf numFmtId="170" fontId="68" fillId="0" borderId="0" applyNumberFormat="0" applyFill="0" applyBorder="0" applyAlignment="0" applyProtection="0"/>
    <xf numFmtId="170" fontId="2" fillId="0" borderId="0" applyNumberFormat="0" applyFill="0" applyBorder="0" applyAlignment="0" applyProtection="0"/>
    <xf numFmtId="170" fontId="69" fillId="0" borderId="0" applyNumberFormat="0" applyFill="0" applyBorder="0" applyAlignment="0" applyProtection="0"/>
    <xf numFmtId="170" fontId="67" fillId="0" borderId="0" applyNumberFormat="0" applyFill="0" applyBorder="0" applyAlignment="0" applyProtection="0"/>
    <xf numFmtId="170" fontId="68" fillId="0" borderId="0" applyNumberFormat="0" applyFill="0" applyBorder="0" applyAlignment="0" applyProtection="0"/>
    <xf numFmtId="170" fontId="2" fillId="0" borderId="0" applyNumberFormat="0" applyFill="0" applyBorder="0" applyAlignment="0" applyProtection="0"/>
    <xf numFmtId="170" fontId="69" fillId="0" borderId="0" applyNumberFormat="0" applyFill="0" applyBorder="0" applyAlignment="0" applyProtection="0"/>
    <xf numFmtId="170" fontId="16" fillId="0" borderId="9" applyNumberFormat="0" applyFill="0" applyAlignment="0" applyProtection="0"/>
    <xf numFmtId="170" fontId="70" fillId="0" borderId="9" applyNumberFormat="0" applyFill="0" applyAlignment="0" applyProtection="0"/>
    <xf numFmtId="170" fontId="71" fillId="0" borderId="9" applyNumberFormat="0" applyFill="0" applyAlignment="0" applyProtection="0"/>
    <xf numFmtId="170" fontId="16" fillId="0" borderId="9" applyNumberFormat="0" applyFill="0" applyAlignment="0" applyProtection="0"/>
    <xf numFmtId="170" fontId="70" fillId="0" borderId="9" applyNumberFormat="0" applyFill="0" applyAlignment="0" applyProtection="0"/>
    <xf numFmtId="170" fontId="71" fillId="0" borderId="9" applyNumberFormat="0" applyFill="0" applyAlignment="0" applyProtection="0"/>
    <xf numFmtId="178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3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70" fontId="14" fillId="0" borderId="0" applyNumberFormat="0" applyFill="0" applyBorder="0" applyAlignment="0" applyProtection="0"/>
    <xf numFmtId="170" fontId="72" fillId="0" borderId="0" applyNumberFormat="0" applyFill="0" applyBorder="0" applyAlignment="0" applyProtection="0"/>
    <xf numFmtId="170" fontId="73" fillId="0" borderId="0" applyNumberFormat="0" applyFill="0" applyBorder="0" applyAlignment="0" applyProtection="0"/>
    <xf numFmtId="170" fontId="14" fillId="0" borderId="0" applyNumberFormat="0" applyFill="0" applyBorder="0" applyAlignment="0" applyProtection="0"/>
    <xf numFmtId="170" fontId="72" fillId="0" borderId="0" applyNumberFormat="0" applyFill="0" applyBorder="0" applyAlignment="0" applyProtection="0"/>
    <xf numFmtId="170" fontId="73" fillId="0" borderId="0" applyNumberFormat="0" applyFill="0" applyBorder="0" applyAlignment="0" applyProtection="0"/>
    <xf numFmtId="0" fontId="33" fillId="0" borderId="0"/>
    <xf numFmtId="0" fontId="74" fillId="0" borderId="0">
      <alignment vertical="center"/>
    </xf>
    <xf numFmtId="40" fontId="34" fillId="0" borderId="0"/>
    <xf numFmtId="0" fontId="33" fillId="0" borderId="0"/>
    <xf numFmtId="0" fontId="33" fillId="0" borderId="0"/>
    <xf numFmtId="40" fontId="34" fillId="0" borderId="0"/>
    <xf numFmtId="0" fontId="33" fillId="0" borderId="0"/>
    <xf numFmtId="0" fontId="33" fillId="0" borderId="0"/>
    <xf numFmtId="165" fontId="33" fillId="0" borderId="0" applyFont="0" applyFill="0" applyBorder="0" applyAlignment="0" applyProtection="0"/>
    <xf numFmtId="1" fontId="82" fillId="0" borderId="0"/>
    <xf numFmtId="1" fontId="82" fillId="0" borderId="0">
      <alignment horizontal="right"/>
    </xf>
    <xf numFmtId="38" fontId="82" fillId="0" borderId="0"/>
    <xf numFmtId="173" fontId="66" fillId="0" borderId="0" applyFont="0" applyFill="0" applyBorder="0" applyAlignment="0" applyProtection="0"/>
    <xf numFmtId="171" fontId="83" fillId="0" borderId="0"/>
    <xf numFmtId="175" fontId="81" fillId="0" borderId="0"/>
    <xf numFmtId="175" fontId="81" fillId="0" borderId="0"/>
    <xf numFmtId="173" fontId="80" fillId="0" borderId="0" applyFont="0" applyFill="0" applyBorder="0" applyAlignment="0" applyProtection="0"/>
    <xf numFmtId="1" fontId="82" fillId="0" borderId="0"/>
    <xf numFmtId="1" fontId="82" fillId="0" borderId="0">
      <alignment horizontal="right"/>
    </xf>
    <xf numFmtId="171" fontId="83" fillId="0" borderId="0"/>
    <xf numFmtId="38" fontId="82" fillId="0" borderId="0"/>
    <xf numFmtId="175" fontId="81" fillId="0" borderId="0"/>
    <xf numFmtId="0" fontId="84" fillId="0" borderId="0"/>
    <xf numFmtId="175" fontId="81" fillId="0" borderId="0"/>
    <xf numFmtId="173" fontId="66" fillId="0" borderId="0" applyFont="0" applyFill="0" applyBorder="0" applyAlignment="0" applyProtection="0"/>
    <xf numFmtId="179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84" fillId="0" borderId="0"/>
    <xf numFmtId="0" fontId="66" fillId="0" borderId="0"/>
    <xf numFmtId="0" fontId="84" fillId="0" borderId="0"/>
    <xf numFmtId="0" fontId="66" fillId="0" borderId="0"/>
    <xf numFmtId="0" fontId="87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8" fillId="0" borderId="0" applyNumberForma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vertical="center"/>
    </xf>
    <xf numFmtId="49" fontId="19" fillId="0" borderId="12" xfId="0" applyNumberFormat="1" applyFont="1" applyBorder="1" applyAlignment="1">
      <alignment horizontal="right" vertical="center" wrapText="1"/>
    </xf>
    <xf numFmtId="0" fontId="0" fillId="0" borderId="13" xfId="0" applyBorder="1" applyAlignment="1">
      <alignment vertical="center"/>
    </xf>
    <xf numFmtId="0" fontId="0" fillId="0" borderId="0" xfId="0" applyAlignment="1">
      <alignment horizontal="right"/>
    </xf>
    <xf numFmtId="167" fontId="0" fillId="0" borderId="0" xfId="2" applyNumberFormat="1" applyFont="1" applyBorder="1"/>
    <xf numFmtId="168" fontId="0" fillId="0" borderId="0" xfId="1" applyNumberFormat="1" applyFont="1" applyBorder="1"/>
    <xf numFmtId="168" fontId="0" fillId="33" borderId="0" xfId="1" applyNumberFormat="1" applyFont="1" applyFill="1" applyBorder="1"/>
    <xf numFmtId="0" fontId="21" fillId="0" borderId="0" xfId="0" applyFont="1" applyAlignment="1">
      <alignment horizontal="right"/>
    </xf>
    <xf numFmtId="168" fontId="0" fillId="0" borderId="0" xfId="1" applyNumberFormat="1" applyFont="1" applyFill="1" applyBorder="1"/>
    <xf numFmtId="168" fontId="0" fillId="0" borderId="0" xfId="1" applyNumberFormat="1" applyFont="1"/>
    <xf numFmtId="166" fontId="0" fillId="0" borderId="0" xfId="1" applyFont="1"/>
    <xf numFmtId="169" fontId="0" fillId="0" borderId="0" xfId="3" applyNumberFormat="1" applyFont="1"/>
    <xf numFmtId="0" fontId="0" fillId="0" borderId="15" xfId="0" applyBorder="1"/>
    <xf numFmtId="0" fontId="75" fillId="0" borderId="15" xfId="0" applyFont="1" applyBorder="1"/>
    <xf numFmtId="0" fontId="20" fillId="0" borderId="15" xfId="0" applyFont="1" applyBorder="1"/>
    <xf numFmtId="0" fontId="0" fillId="0" borderId="0" xfId="0" applyAlignment="1">
      <alignment horizontal="center"/>
    </xf>
    <xf numFmtId="166" fontId="0" fillId="0" borderId="0" xfId="1" applyFont="1" applyAlignment="1">
      <alignment horizontal="right"/>
    </xf>
    <xf numFmtId="168" fontId="0" fillId="0" borderId="15" xfId="439" applyNumberFormat="1" applyFont="1" applyBorder="1"/>
    <xf numFmtId="3" fontId="0" fillId="0" borderId="0" xfId="0" applyNumberFormat="1"/>
    <xf numFmtId="168" fontId="79" fillId="0" borderId="0" xfId="1" applyNumberFormat="1" applyFont="1" applyFill="1" applyBorder="1"/>
    <xf numFmtId="0" fontId="76" fillId="44" borderId="13" xfId="675" applyFont="1" applyFill="1" applyBorder="1" applyAlignment="1">
      <alignment horizontal="center" vertical="center" wrapText="1"/>
    </xf>
    <xf numFmtId="1" fontId="38" fillId="44" borderId="12" xfId="1" applyNumberFormat="1" applyFont="1" applyFill="1" applyBorder="1" applyAlignment="1">
      <alignment horizontal="center" vertical="center" wrapText="1"/>
    </xf>
    <xf numFmtId="1" fontId="77" fillId="44" borderId="16" xfId="1" applyNumberFormat="1" applyFont="1" applyFill="1" applyBorder="1" applyAlignment="1">
      <alignment horizontal="center" vertical="center" wrapText="1"/>
    </xf>
    <xf numFmtId="1" fontId="0" fillId="0" borderId="0" xfId="0" applyNumberFormat="1"/>
    <xf numFmtId="168" fontId="66" fillId="0" borderId="0" xfId="1" applyNumberFormat="1" applyFont="1" applyFill="1" applyBorder="1"/>
    <xf numFmtId="166" fontId="0" fillId="0" borderId="0" xfId="1" applyFont="1" applyFill="1" applyBorder="1" applyAlignment="1">
      <alignment horizontal="right"/>
    </xf>
    <xf numFmtId="166" fontId="86" fillId="33" borderId="0" xfId="1" applyFont="1" applyFill="1" applyBorder="1"/>
    <xf numFmtId="166" fontId="0" fillId="0" borderId="0" xfId="1" applyFont="1" applyBorder="1" applyAlignment="1">
      <alignment horizontal="right"/>
    </xf>
    <xf numFmtId="166" fontId="0" fillId="0" borderId="0" xfId="1" applyFont="1" applyBorder="1"/>
    <xf numFmtId="168" fontId="86" fillId="0" borderId="0" xfId="1" applyNumberFormat="1" applyFont="1" applyFill="1" applyBorder="1"/>
    <xf numFmtId="49" fontId="18" fillId="0" borderId="0" xfId="0" applyNumberFormat="1" applyFont="1" applyAlignment="1">
      <alignment horizontal="right" vertical="center" wrapText="1"/>
    </xf>
    <xf numFmtId="9" fontId="85" fillId="0" borderId="0" xfId="3" applyFont="1" applyFill="1" applyBorder="1" applyAlignment="1">
      <alignment horizontal="right"/>
    </xf>
    <xf numFmtId="0" fontId="18" fillId="0" borderId="0" xfId="0" applyFont="1" applyAlignment="1">
      <alignment horizontal="center" vertical="center"/>
    </xf>
    <xf numFmtId="1" fontId="0" fillId="0" borderId="0" xfId="1" applyNumberFormat="1" applyFont="1"/>
    <xf numFmtId="49" fontId="19" fillId="0" borderId="0" xfId="0" applyNumberFormat="1" applyFont="1" applyAlignment="1">
      <alignment horizontal="right" vertical="center" wrapText="1"/>
    </xf>
    <xf numFmtId="168" fontId="79" fillId="0" borderId="0" xfId="438" applyNumberFormat="1" applyFont="1" applyFill="1" applyBorder="1"/>
    <xf numFmtId="1" fontId="77" fillId="44" borderId="17" xfId="1" applyNumberFormat="1" applyFont="1" applyFill="1" applyBorder="1" applyAlignment="1">
      <alignment horizontal="center" vertical="center" wrapText="1"/>
    </xf>
    <xf numFmtId="168" fontId="86" fillId="0" borderId="0" xfId="1" applyNumberFormat="1" applyFont="1" applyBorder="1"/>
    <xf numFmtId="9" fontId="85" fillId="0" borderId="0" xfId="0" applyNumberFormat="1" applyFont="1" applyAlignment="1">
      <alignment horizontal="right"/>
    </xf>
    <xf numFmtId="168" fontId="86" fillId="33" borderId="0" xfId="1" applyNumberFormat="1" applyFont="1" applyFill="1" applyBorder="1"/>
    <xf numFmtId="168" fontId="86" fillId="41" borderId="0" xfId="1" applyNumberFormat="1" applyFont="1" applyFill="1" applyBorder="1"/>
    <xf numFmtId="49" fontId="18" fillId="0" borderId="12" xfId="0" applyNumberFormat="1" applyFont="1" applyBorder="1" applyAlignment="1">
      <alignment horizontal="right" vertical="center" wrapText="1"/>
    </xf>
    <xf numFmtId="0" fontId="77" fillId="44" borderId="13" xfId="675" applyFont="1" applyFill="1" applyBorder="1" applyAlignment="1">
      <alignment horizontal="center" vertical="center" wrapText="1"/>
    </xf>
    <xf numFmtId="0" fontId="77" fillId="44" borderId="18" xfId="675" applyFont="1" applyFill="1" applyBorder="1" applyAlignment="1">
      <alignment horizontal="center" vertical="center" wrapText="1"/>
    </xf>
    <xf numFmtId="166" fontId="0" fillId="33" borderId="0" xfId="1" applyFont="1" applyFill="1" applyBorder="1"/>
    <xf numFmtId="0" fontId="38" fillId="0" borderId="0" xfId="675" applyFont="1" applyAlignment="1">
      <alignment horizontal="center" vertical="center" wrapText="1"/>
    </xf>
    <xf numFmtId="0" fontId="38" fillId="0" borderId="0" xfId="675" applyFont="1"/>
    <xf numFmtId="0" fontId="38" fillId="0" borderId="0" xfId="675" applyFont="1" applyAlignment="1">
      <alignment horizontal="left"/>
    </xf>
    <xf numFmtId="177" fontId="38" fillId="42" borderId="0" xfId="675" applyNumberFormat="1" applyFont="1" applyFill="1" applyAlignment="1">
      <alignment horizontal="right"/>
    </xf>
    <xf numFmtId="165" fontId="38" fillId="0" borderId="0" xfId="675" applyNumberFormat="1" applyFont="1" applyAlignment="1">
      <alignment horizontal="right"/>
    </xf>
    <xf numFmtId="165" fontId="38" fillId="0" borderId="0" xfId="675" applyNumberFormat="1" applyFont="1" applyAlignment="1">
      <alignment horizontal="center" vertical="center" wrapText="1"/>
    </xf>
    <xf numFmtId="0" fontId="38" fillId="0" borderId="0" xfId="675" applyFont="1" applyAlignment="1">
      <alignment horizontal="center"/>
    </xf>
    <xf numFmtId="1" fontId="38" fillId="0" borderId="0" xfId="675" applyNumberFormat="1" applyFont="1" applyAlignment="1">
      <alignment horizontal="right"/>
    </xf>
    <xf numFmtId="0" fontId="78" fillId="0" borderId="20" xfId="675" applyFont="1" applyBorder="1"/>
    <xf numFmtId="0" fontId="66" fillId="0" borderId="0" xfId="675"/>
    <xf numFmtId="0" fontId="66" fillId="0" borderId="21" xfId="675" applyBorder="1"/>
    <xf numFmtId="168" fontId="79" fillId="0" borderId="20" xfId="438" applyNumberFormat="1" applyFont="1" applyFill="1" applyBorder="1"/>
    <xf numFmtId="0" fontId="78" fillId="0" borderId="0" xfId="675" applyFont="1"/>
    <xf numFmtId="0" fontId="76" fillId="45" borderId="0" xfId="675" applyFont="1" applyFill="1" applyAlignment="1">
      <alignment horizontal="center" vertical="center" wrapText="1"/>
    </xf>
    <xf numFmtId="0" fontId="76" fillId="45" borderId="18" xfId="675" applyFont="1" applyFill="1" applyBorder="1" applyAlignment="1">
      <alignment horizontal="center" vertical="center" wrapText="1"/>
    </xf>
    <xf numFmtId="0" fontId="76" fillId="45" borderId="13" xfId="675" applyFont="1" applyFill="1" applyBorder="1" applyAlignment="1">
      <alignment horizontal="center" vertical="center" wrapText="1"/>
    </xf>
    <xf numFmtId="0" fontId="76" fillId="45" borderId="19" xfId="675" applyFont="1" applyFill="1" applyBorder="1" applyAlignment="1">
      <alignment horizontal="center" vertical="center" wrapText="1"/>
    </xf>
    <xf numFmtId="0" fontId="77" fillId="44" borderId="16" xfId="675" applyFont="1" applyFill="1" applyBorder="1" applyAlignment="1">
      <alignment horizontal="center" vertical="center" wrapText="1"/>
    </xf>
    <xf numFmtId="0" fontId="77" fillId="44" borderId="12" xfId="675" applyFont="1" applyFill="1" applyBorder="1" applyAlignment="1">
      <alignment horizontal="center" vertical="center" wrapText="1"/>
    </xf>
    <xf numFmtId="0" fontId="76" fillId="44" borderId="12" xfId="675" applyFont="1" applyFill="1" applyBorder="1" applyAlignment="1">
      <alignment horizontal="center" vertical="center" wrapText="1"/>
    </xf>
    <xf numFmtId="0" fontId="38" fillId="44" borderId="12" xfId="675" applyFont="1" applyFill="1" applyBorder="1" applyAlignment="1">
      <alignment horizontal="center" vertical="center" wrapText="1"/>
    </xf>
    <xf numFmtId="0" fontId="77" fillId="44" borderId="17" xfId="675" applyFont="1" applyFill="1" applyBorder="1" applyAlignment="1">
      <alignment horizontal="center" vertical="center" wrapText="1"/>
    </xf>
    <xf numFmtId="168" fontId="77" fillId="44" borderId="16" xfId="438" applyNumberFormat="1" applyFont="1" applyFill="1" applyBorder="1" applyAlignment="1">
      <alignment horizontal="center" vertical="center" wrapText="1"/>
    </xf>
    <xf numFmtId="166" fontId="66" fillId="0" borderId="0" xfId="438" applyFont="1" applyFill="1" applyBorder="1"/>
    <xf numFmtId="168" fontId="77" fillId="44" borderId="16" xfId="1" applyNumberFormat="1" applyFont="1" applyFill="1" applyBorder="1" applyAlignment="1">
      <alignment horizontal="center" vertical="center" wrapText="1"/>
    </xf>
    <xf numFmtId="168" fontId="76" fillId="45" borderId="13" xfId="1" applyNumberFormat="1" applyFont="1" applyFill="1" applyBorder="1" applyAlignment="1">
      <alignment horizontal="center" vertical="center" wrapText="1"/>
    </xf>
    <xf numFmtId="168" fontId="76" fillId="45" borderId="0" xfId="1" applyNumberFormat="1" applyFont="1" applyFill="1" applyBorder="1" applyAlignment="1">
      <alignment horizontal="center" vertical="center" wrapText="1"/>
    </xf>
    <xf numFmtId="168" fontId="38" fillId="42" borderId="0" xfId="1" applyNumberFormat="1" applyFont="1" applyFill="1" applyBorder="1" applyAlignment="1">
      <alignment horizontal="right"/>
    </xf>
    <xf numFmtId="180" fontId="0" fillId="0" borderId="0" xfId="0" applyNumberFormat="1"/>
    <xf numFmtId="0" fontId="33" fillId="0" borderId="0" xfId="682"/>
    <xf numFmtId="0" fontId="33" fillId="0" borderId="21" xfId="682" applyBorder="1"/>
    <xf numFmtId="168" fontId="0" fillId="0" borderId="0" xfId="0" applyNumberFormat="1"/>
    <xf numFmtId="181" fontId="0" fillId="0" borderId="0" xfId="0" applyNumberFormat="1"/>
    <xf numFmtId="0" fontId="90" fillId="0" borderId="0" xfId="0" applyFont="1"/>
    <xf numFmtId="0" fontId="33" fillId="0" borderId="0" xfId="0" applyFont="1"/>
    <xf numFmtId="0" fontId="33" fillId="0" borderId="21" xfId="0" applyFont="1" applyBorder="1"/>
    <xf numFmtId="2" fontId="0" fillId="0" borderId="0" xfId="0" applyNumberFormat="1"/>
    <xf numFmtId="2" fontId="0" fillId="0" borderId="0" xfId="1" applyNumberFormat="1" applyFont="1"/>
    <xf numFmtId="182" fontId="0" fillId="0" borderId="0" xfId="0" applyNumberFormat="1"/>
    <xf numFmtId="182" fontId="0" fillId="0" borderId="0" xfId="1" applyNumberFormat="1" applyFont="1"/>
    <xf numFmtId="17" fontId="76" fillId="45" borderId="16" xfId="682" applyNumberFormat="1" applyFont="1" applyFill="1" applyBorder="1" applyAlignment="1">
      <alignment horizontal="center" vertical="center" wrapText="1"/>
    </xf>
    <xf numFmtId="17" fontId="76" fillId="45" borderId="17" xfId="682" applyNumberFormat="1" applyFont="1" applyFill="1" applyBorder="1" applyAlignment="1">
      <alignment horizontal="center" vertical="center" wrapText="1"/>
    </xf>
    <xf numFmtId="0" fontId="18" fillId="43" borderId="10" xfId="0" applyFont="1" applyFill="1" applyBorder="1" applyAlignment="1">
      <alignment horizontal="center" vertical="center"/>
    </xf>
    <xf numFmtId="0" fontId="18" fillId="43" borderId="11" xfId="0" applyFont="1" applyFill="1" applyBorder="1" applyAlignment="1">
      <alignment horizontal="center" vertical="center"/>
    </xf>
    <xf numFmtId="166" fontId="16" fillId="0" borderId="14" xfId="1" applyFont="1" applyBorder="1" applyAlignment="1">
      <alignment horizontal="center"/>
    </xf>
  </cellXfs>
  <cellStyles count="926">
    <cellStyle name="20% - Accent1" xfId="21" builtinId="30" customBuiltin="1"/>
    <cellStyle name="20% - Accent1 2" xfId="44" xr:uid="{00000000-0005-0000-0000-000000000000}"/>
    <cellStyle name="20% - Accent1 2 2" xfId="45" xr:uid="{00000000-0005-0000-0000-000001000000}"/>
    <cellStyle name="20% - Accent1 2 2 2" xfId="46" xr:uid="{00000000-0005-0000-0000-000002000000}"/>
    <cellStyle name="20% - Accent1 2 2 3" xfId="47" xr:uid="{00000000-0005-0000-0000-000003000000}"/>
    <cellStyle name="20% - Accent1 2 3" xfId="48" xr:uid="{00000000-0005-0000-0000-000004000000}"/>
    <cellStyle name="20% - Accent1 2 4" xfId="49" xr:uid="{00000000-0005-0000-0000-000005000000}"/>
    <cellStyle name="20% - Accent1 3" xfId="50" xr:uid="{00000000-0005-0000-0000-000006000000}"/>
    <cellStyle name="20% - Accent1 3 2" xfId="51" xr:uid="{00000000-0005-0000-0000-000007000000}"/>
    <cellStyle name="20% - Accent1 3 3" xfId="52" xr:uid="{00000000-0005-0000-0000-000008000000}"/>
    <cellStyle name="20% - Accent2" xfId="25" builtinId="34" customBuiltin="1"/>
    <cellStyle name="20% - Accent2 2" xfId="53" xr:uid="{00000000-0005-0000-0000-000009000000}"/>
    <cellStyle name="20% - Accent2 2 2" xfId="54" xr:uid="{00000000-0005-0000-0000-00000A000000}"/>
    <cellStyle name="20% - Accent2 2 2 2" xfId="55" xr:uid="{00000000-0005-0000-0000-00000B000000}"/>
    <cellStyle name="20% - Accent2 2 2 3" xfId="56" xr:uid="{00000000-0005-0000-0000-00000C000000}"/>
    <cellStyle name="20% - Accent2 2 3" xfId="57" xr:uid="{00000000-0005-0000-0000-00000D000000}"/>
    <cellStyle name="20% - Accent2 2 4" xfId="58" xr:uid="{00000000-0005-0000-0000-00000E000000}"/>
    <cellStyle name="20% - Accent2 3" xfId="59" xr:uid="{00000000-0005-0000-0000-00000F000000}"/>
    <cellStyle name="20% - Accent2 3 2" xfId="60" xr:uid="{00000000-0005-0000-0000-000010000000}"/>
    <cellStyle name="20% - Accent2 3 3" xfId="61" xr:uid="{00000000-0005-0000-0000-000011000000}"/>
    <cellStyle name="20% - Accent3" xfId="29" builtinId="38" customBuiltin="1"/>
    <cellStyle name="20% - Accent3 2" xfId="62" xr:uid="{00000000-0005-0000-0000-000012000000}"/>
    <cellStyle name="20% - Accent3 2 2" xfId="63" xr:uid="{00000000-0005-0000-0000-000013000000}"/>
    <cellStyle name="20% - Accent3 2 2 2" xfId="64" xr:uid="{00000000-0005-0000-0000-000014000000}"/>
    <cellStyle name="20% - Accent3 2 2 3" xfId="65" xr:uid="{00000000-0005-0000-0000-000015000000}"/>
    <cellStyle name="20% - Accent3 2 3" xfId="66" xr:uid="{00000000-0005-0000-0000-000016000000}"/>
    <cellStyle name="20% - Accent3 2 4" xfId="67" xr:uid="{00000000-0005-0000-0000-000017000000}"/>
    <cellStyle name="20% - Accent3 3" xfId="68" xr:uid="{00000000-0005-0000-0000-000018000000}"/>
    <cellStyle name="20% - Accent3 3 2" xfId="69" xr:uid="{00000000-0005-0000-0000-000019000000}"/>
    <cellStyle name="20% - Accent3 3 3" xfId="70" xr:uid="{00000000-0005-0000-0000-00001A000000}"/>
    <cellStyle name="20% - Accent4" xfId="33" builtinId="42" customBuiltin="1"/>
    <cellStyle name="20% - Accent4 2" xfId="71" xr:uid="{00000000-0005-0000-0000-00001B000000}"/>
    <cellStyle name="20% - Accent4 2 2" xfId="72" xr:uid="{00000000-0005-0000-0000-00001C000000}"/>
    <cellStyle name="20% - Accent4 2 2 2" xfId="73" xr:uid="{00000000-0005-0000-0000-00001D000000}"/>
    <cellStyle name="20% - Accent4 2 2 3" xfId="74" xr:uid="{00000000-0005-0000-0000-00001E000000}"/>
    <cellStyle name="20% - Accent4 2 3" xfId="75" xr:uid="{00000000-0005-0000-0000-00001F000000}"/>
    <cellStyle name="20% - Accent4 2 4" xfId="76" xr:uid="{00000000-0005-0000-0000-000020000000}"/>
    <cellStyle name="20% - Accent4 3" xfId="77" xr:uid="{00000000-0005-0000-0000-000021000000}"/>
    <cellStyle name="20% - Accent4 3 2" xfId="78" xr:uid="{00000000-0005-0000-0000-000022000000}"/>
    <cellStyle name="20% - Accent4 3 3" xfId="79" xr:uid="{00000000-0005-0000-0000-000023000000}"/>
    <cellStyle name="20% - Accent5" xfId="37" builtinId="46" customBuiltin="1"/>
    <cellStyle name="20% - Accent5 2" xfId="80" xr:uid="{00000000-0005-0000-0000-000024000000}"/>
    <cellStyle name="20% - Accent5 2 2" xfId="81" xr:uid="{00000000-0005-0000-0000-000025000000}"/>
    <cellStyle name="20% - Accent5 2 2 2" xfId="82" xr:uid="{00000000-0005-0000-0000-000026000000}"/>
    <cellStyle name="20% - Accent5 2 2 3" xfId="83" xr:uid="{00000000-0005-0000-0000-000027000000}"/>
    <cellStyle name="20% - Accent5 2 3" xfId="84" xr:uid="{00000000-0005-0000-0000-000028000000}"/>
    <cellStyle name="20% - Accent5 2 4" xfId="85" xr:uid="{00000000-0005-0000-0000-000029000000}"/>
    <cellStyle name="20% - Accent5 3" xfId="86" xr:uid="{00000000-0005-0000-0000-00002A000000}"/>
    <cellStyle name="20% - Accent5 3 2" xfId="87" xr:uid="{00000000-0005-0000-0000-00002B000000}"/>
    <cellStyle name="20% - Accent5 3 3" xfId="88" xr:uid="{00000000-0005-0000-0000-00002C000000}"/>
    <cellStyle name="20% - Accent6" xfId="41" builtinId="50" customBuiltin="1"/>
    <cellStyle name="20% - Accent6 2" xfId="89" xr:uid="{00000000-0005-0000-0000-00002D000000}"/>
    <cellStyle name="20% - Accent6 2 2" xfId="90" xr:uid="{00000000-0005-0000-0000-00002E000000}"/>
    <cellStyle name="20% - Accent6 2 2 2" xfId="91" xr:uid="{00000000-0005-0000-0000-00002F000000}"/>
    <cellStyle name="20% - Accent6 2 2 3" xfId="92" xr:uid="{00000000-0005-0000-0000-000030000000}"/>
    <cellStyle name="20% - Accent6 2 3" xfId="93" xr:uid="{00000000-0005-0000-0000-000031000000}"/>
    <cellStyle name="20% - Accent6 2 4" xfId="94" xr:uid="{00000000-0005-0000-0000-000032000000}"/>
    <cellStyle name="20% - Accent6 3" xfId="95" xr:uid="{00000000-0005-0000-0000-000033000000}"/>
    <cellStyle name="20% - Accent6 3 2" xfId="96" xr:uid="{00000000-0005-0000-0000-000034000000}"/>
    <cellStyle name="20% - Accent6 3 3" xfId="97" xr:uid="{00000000-0005-0000-0000-000035000000}"/>
    <cellStyle name="20% - 輔色1 2" xfId="98" xr:uid="{00000000-0005-0000-0000-00003C000000}"/>
    <cellStyle name="20% - 輔色2 2" xfId="99" xr:uid="{00000000-0005-0000-0000-00003D000000}"/>
    <cellStyle name="20% - 輔色3 2" xfId="100" xr:uid="{00000000-0005-0000-0000-00003E000000}"/>
    <cellStyle name="20% - 輔色4 2" xfId="101" xr:uid="{00000000-0005-0000-0000-00003F000000}"/>
    <cellStyle name="20% - 輔色5 2" xfId="102" xr:uid="{00000000-0005-0000-0000-000040000000}"/>
    <cellStyle name="20% - 輔色6 2" xfId="103" xr:uid="{00000000-0005-0000-0000-000041000000}"/>
    <cellStyle name="40% - Accent1" xfId="22" builtinId="31" customBuiltin="1"/>
    <cellStyle name="40% - Accent1 2" xfId="104" xr:uid="{00000000-0005-0000-0000-000042000000}"/>
    <cellStyle name="40% - Accent1 2 2" xfId="105" xr:uid="{00000000-0005-0000-0000-000043000000}"/>
    <cellStyle name="40% - Accent1 2 2 2" xfId="106" xr:uid="{00000000-0005-0000-0000-000044000000}"/>
    <cellStyle name="40% - Accent1 2 2 3" xfId="107" xr:uid="{00000000-0005-0000-0000-000045000000}"/>
    <cellStyle name="40% - Accent1 2 3" xfId="108" xr:uid="{00000000-0005-0000-0000-000046000000}"/>
    <cellStyle name="40% - Accent1 2 4" xfId="109" xr:uid="{00000000-0005-0000-0000-000047000000}"/>
    <cellStyle name="40% - Accent1 3" xfId="110" xr:uid="{00000000-0005-0000-0000-000048000000}"/>
    <cellStyle name="40% - Accent1 3 2" xfId="111" xr:uid="{00000000-0005-0000-0000-000049000000}"/>
    <cellStyle name="40% - Accent1 3 3" xfId="112" xr:uid="{00000000-0005-0000-0000-00004A000000}"/>
    <cellStyle name="40% - Accent2" xfId="26" builtinId="35" customBuiltin="1"/>
    <cellStyle name="40% - Accent2 2" xfId="113" xr:uid="{00000000-0005-0000-0000-00004B000000}"/>
    <cellStyle name="40% - Accent2 2 2" xfId="114" xr:uid="{00000000-0005-0000-0000-00004C000000}"/>
    <cellStyle name="40% - Accent2 2 2 2" xfId="115" xr:uid="{00000000-0005-0000-0000-00004D000000}"/>
    <cellStyle name="40% - Accent2 2 2 3" xfId="116" xr:uid="{00000000-0005-0000-0000-00004E000000}"/>
    <cellStyle name="40% - Accent2 2 3" xfId="117" xr:uid="{00000000-0005-0000-0000-00004F000000}"/>
    <cellStyle name="40% - Accent2 2 4" xfId="118" xr:uid="{00000000-0005-0000-0000-000050000000}"/>
    <cellStyle name="40% - Accent2 3" xfId="119" xr:uid="{00000000-0005-0000-0000-000051000000}"/>
    <cellStyle name="40% - Accent2 3 2" xfId="120" xr:uid="{00000000-0005-0000-0000-000052000000}"/>
    <cellStyle name="40% - Accent2 3 3" xfId="121" xr:uid="{00000000-0005-0000-0000-000053000000}"/>
    <cellStyle name="40% - Accent3" xfId="30" builtinId="39" customBuiltin="1"/>
    <cellStyle name="40% - Accent3 2" xfId="122" xr:uid="{00000000-0005-0000-0000-000054000000}"/>
    <cellStyle name="40% - Accent3 2 2" xfId="123" xr:uid="{00000000-0005-0000-0000-000055000000}"/>
    <cellStyle name="40% - Accent3 2 2 2" xfId="124" xr:uid="{00000000-0005-0000-0000-000056000000}"/>
    <cellStyle name="40% - Accent3 2 2 3" xfId="125" xr:uid="{00000000-0005-0000-0000-000057000000}"/>
    <cellStyle name="40% - Accent3 2 3" xfId="126" xr:uid="{00000000-0005-0000-0000-000058000000}"/>
    <cellStyle name="40% - Accent3 2 4" xfId="127" xr:uid="{00000000-0005-0000-0000-000059000000}"/>
    <cellStyle name="40% - Accent3 3" xfId="128" xr:uid="{00000000-0005-0000-0000-00005A000000}"/>
    <cellStyle name="40% - Accent3 3 2" xfId="129" xr:uid="{00000000-0005-0000-0000-00005B000000}"/>
    <cellStyle name="40% - Accent3 3 3" xfId="130" xr:uid="{00000000-0005-0000-0000-00005C000000}"/>
    <cellStyle name="40% - Accent4" xfId="34" builtinId="43" customBuiltin="1"/>
    <cellStyle name="40% - Accent4 2" xfId="131" xr:uid="{00000000-0005-0000-0000-00005D000000}"/>
    <cellStyle name="40% - Accent4 2 2" xfId="132" xr:uid="{00000000-0005-0000-0000-00005E000000}"/>
    <cellStyle name="40% - Accent4 2 2 2" xfId="133" xr:uid="{00000000-0005-0000-0000-00005F000000}"/>
    <cellStyle name="40% - Accent4 2 2 3" xfId="134" xr:uid="{00000000-0005-0000-0000-000060000000}"/>
    <cellStyle name="40% - Accent4 2 3" xfId="135" xr:uid="{00000000-0005-0000-0000-000061000000}"/>
    <cellStyle name="40% - Accent4 2 4" xfId="136" xr:uid="{00000000-0005-0000-0000-000062000000}"/>
    <cellStyle name="40% - Accent4 3" xfId="137" xr:uid="{00000000-0005-0000-0000-000063000000}"/>
    <cellStyle name="40% - Accent4 3 2" xfId="138" xr:uid="{00000000-0005-0000-0000-000064000000}"/>
    <cellStyle name="40% - Accent4 3 3" xfId="139" xr:uid="{00000000-0005-0000-0000-000065000000}"/>
    <cellStyle name="40% - Accent5" xfId="38" builtinId="47" customBuiltin="1"/>
    <cellStyle name="40% - Accent5 2" xfId="140" xr:uid="{00000000-0005-0000-0000-000066000000}"/>
    <cellStyle name="40% - Accent5 2 2" xfId="141" xr:uid="{00000000-0005-0000-0000-000067000000}"/>
    <cellStyle name="40% - Accent5 2 2 2" xfId="142" xr:uid="{00000000-0005-0000-0000-000068000000}"/>
    <cellStyle name="40% - Accent5 2 2 3" xfId="143" xr:uid="{00000000-0005-0000-0000-000069000000}"/>
    <cellStyle name="40% - Accent5 2 3" xfId="144" xr:uid="{00000000-0005-0000-0000-00006A000000}"/>
    <cellStyle name="40% - Accent5 2 4" xfId="145" xr:uid="{00000000-0005-0000-0000-00006B000000}"/>
    <cellStyle name="40% - Accent5 3" xfId="146" xr:uid="{00000000-0005-0000-0000-00006C000000}"/>
    <cellStyle name="40% - Accent5 3 2" xfId="147" xr:uid="{00000000-0005-0000-0000-00006D000000}"/>
    <cellStyle name="40% - Accent5 3 3" xfId="148" xr:uid="{00000000-0005-0000-0000-00006E000000}"/>
    <cellStyle name="40% - Accent6" xfId="42" builtinId="51" customBuiltin="1"/>
    <cellStyle name="40% - Accent6 2" xfId="149" xr:uid="{00000000-0005-0000-0000-00006F000000}"/>
    <cellStyle name="40% - Accent6 2 2" xfId="150" xr:uid="{00000000-0005-0000-0000-000070000000}"/>
    <cellStyle name="40% - Accent6 2 2 2" xfId="151" xr:uid="{00000000-0005-0000-0000-000071000000}"/>
    <cellStyle name="40% - Accent6 2 2 3" xfId="152" xr:uid="{00000000-0005-0000-0000-000072000000}"/>
    <cellStyle name="40% - Accent6 2 3" xfId="153" xr:uid="{00000000-0005-0000-0000-000073000000}"/>
    <cellStyle name="40% - Accent6 2 4" xfId="154" xr:uid="{00000000-0005-0000-0000-000074000000}"/>
    <cellStyle name="40% - Accent6 3" xfId="155" xr:uid="{00000000-0005-0000-0000-000075000000}"/>
    <cellStyle name="40% - Accent6 3 2" xfId="156" xr:uid="{00000000-0005-0000-0000-000076000000}"/>
    <cellStyle name="40% - Accent6 3 3" xfId="157" xr:uid="{00000000-0005-0000-0000-000077000000}"/>
    <cellStyle name="40% - 輔色1 2" xfId="158" xr:uid="{00000000-0005-0000-0000-00007E000000}"/>
    <cellStyle name="40% - 輔色2 2" xfId="159" xr:uid="{00000000-0005-0000-0000-00007F000000}"/>
    <cellStyle name="40% - 輔色3 2" xfId="160" xr:uid="{00000000-0005-0000-0000-000080000000}"/>
    <cellStyle name="40% - 輔色4 2" xfId="161" xr:uid="{00000000-0005-0000-0000-000081000000}"/>
    <cellStyle name="40% - 輔色5 2" xfId="162" xr:uid="{00000000-0005-0000-0000-000082000000}"/>
    <cellStyle name="40% - 輔色6 2" xfId="163" xr:uid="{00000000-0005-0000-0000-000083000000}"/>
    <cellStyle name="60% - Accent1" xfId="23" builtinId="32" customBuiltin="1"/>
    <cellStyle name="60% - Accent1 2" xfId="164" xr:uid="{00000000-0005-0000-0000-000084000000}"/>
    <cellStyle name="60% - Accent1 2 2" xfId="165" xr:uid="{00000000-0005-0000-0000-000085000000}"/>
    <cellStyle name="60% - Accent1 2 3" xfId="166" xr:uid="{00000000-0005-0000-0000-000086000000}"/>
    <cellStyle name="60% - Accent1 3" xfId="167" xr:uid="{00000000-0005-0000-0000-000087000000}"/>
    <cellStyle name="60% - Accent1 3 2" xfId="168" xr:uid="{00000000-0005-0000-0000-000088000000}"/>
    <cellStyle name="60% - Accent1 3 3" xfId="169" xr:uid="{00000000-0005-0000-0000-000089000000}"/>
    <cellStyle name="60% - Accent2" xfId="27" builtinId="36" customBuiltin="1"/>
    <cellStyle name="60% - Accent2 2" xfId="170" xr:uid="{00000000-0005-0000-0000-00008A000000}"/>
    <cellStyle name="60% - Accent2 2 2" xfId="171" xr:uid="{00000000-0005-0000-0000-00008B000000}"/>
    <cellStyle name="60% - Accent2 2 3" xfId="172" xr:uid="{00000000-0005-0000-0000-00008C000000}"/>
    <cellStyle name="60% - Accent2 3" xfId="173" xr:uid="{00000000-0005-0000-0000-00008D000000}"/>
    <cellStyle name="60% - Accent2 3 2" xfId="174" xr:uid="{00000000-0005-0000-0000-00008E000000}"/>
    <cellStyle name="60% - Accent2 3 3" xfId="175" xr:uid="{00000000-0005-0000-0000-00008F000000}"/>
    <cellStyle name="60% - Accent3" xfId="31" builtinId="40" customBuiltin="1"/>
    <cellStyle name="60% - Accent3 2" xfId="176" xr:uid="{00000000-0005-0000-0000-000090000000}"/>
    <cellStyle name="60% - Accent3 2 2" xfId="177" xr:uid="{00000000-0005-0000-0000-000091000000}"/>
    <cellStyle name="60% - Accent3 2 3" xfId="178" xr:uid="{00000000-0005-0000-0000-000092000000}"/>
    <cellStyle name="60% - Accent3 3" xfId="179" xr:uid="{00000000-0005-0000-0000-000093000000}"/>
    <cellStyle name="60% - Accent3 3 2" xfId="180" xr:uid="{00000000-0005-0000-0000-000094000000}"/>
    <cellStyle name="60% - Accent3 3 3" xfId="181" xr:uid="{00000000-0005-0000-0000-000095000000}"/>
    <cellStyle name="60% - Accent4" xfId="35" builtinId="44" customBuiltin="1"/>
    <cellStyle name="60% - Accent4 2" xfId="182" xr:uid="{00000000-0005-0000-0000-000096000000}"/>
    <cellStyle name="60% - Accent4 2 2" xfId="183" xr:uid="{00000000-0005-0000-0000-000097000000}"/>
    <cellStyle name="60% - Accent4 2 3" xfId="184" xr:uid="{00000000-0005-0000-0000-000098000000}"/>
    <cellStyle name="60% - Accent4 3" xfId="185" xr:uid="{00000000-0005-0000-0000-000099000000}"/>
    <cellStyle name="60% - Accent4 3 2" xfId="186" xr:uid="{00000000-0005-0000-0000-00009A000000}"/>
    <cellStyle name="60% - Accent4 3 3" xfId="187" xr:uid="{00000000-0005-0000-0000-00009B000000}"/>
    <cellStyle name="60% - Accent5" xfId="39" builtinId="48" customBuiltin="1"/>
    <cellStyle name="60% - Accent5 2" xfId="188" xr:uid="{00000000-0005-0000-0000-00009C000000}"/>
    <cellStyle name="60% - Accent5 2 2" xfId="189" xr:uid="{00000000-0005-0000-0000-00009D000000}"/>
    <cellStyle name="60% - Accent5 2 3" xfId="190" xr:uid="{00000000-0005-0000-0000-00009E000000}"/>
    <cellStyle name="60% - Accent5 3" xfId="191" xr:uid="{00000000-0005-0000-0000-00009F000000}"/>
    <cellStyle name="60% - Accent5 3 2" xfId="192" xr:uid="{00000000-0005-0000-0000-0000A0000000}"/>
    <cellStyle name="60% - Accent5 3 3" xfId="193" xr:uid="{00000000-0005-0000-0000-0000A1000000}"/>
    <cellStyle name="60% - Accent6" xfId="43" builtinId="52" customBuiltin="1"/>
    <cellStyle name="60% - Accent6 2" xfId="194" xr:uid="{00000000-0005-0000-0000-0000A2000000}"/>
    <cellStyle name="60% - Accent6 2 2" xfId="195" xr:uid="{00000000-0005-0000-0000-0000A3000000}"/>
    <cellStyle name="60% - Accent6 2 3" xfId="196" xr:uid="{00000000-0005-0000-0000-0000A4000000}"/>
    <cellStyle name="60% - Accent6 3" xfId="197" xr:uid="{00000000-0005-0000-0000-0000A5000000}"/>
    <cellStyle name="60% - Accent6 3 2" xfId="198" xr:uid="{00000000-0005-0000-0000-0000A6000000}"/>
    <cellStyle name="60% - Accent6 3 3" xfId="199" xr:uid="{00000000-0005-0000-0000-0000A7000000}"/>
    <cellStyle name="Accent1" xfId="20" builtinId="29" customBuiltin="1"/>
    <cellStyle name="Accent1 2" xfId="200" xr:uid="{00000000-0005-0000-0000-0000AE000000}"/>
    <cellStyle name="Accent1 2 2" xfId="201" xr:uid="{00000000-0005-0000-0000-0000AF000000}"/>
    <cellStyle name="Accent1 2 3" xfId="202" xr:uid="{00000000-0005-0000-0000-0000B0000000}"/>
    <cellStyle name="Accent1 3" xfId="203" xr:uid="{00000000-0005-0000-0000-0000B1000000}"/>
    <cellStyle name="Accent1 3 2" xfId="204" xr:uid="{00000000-0005-0000-0000-0000B2000000}"/>
    <cellStyle name="Accent1 3 3" xfId="205" xr:uid="{00000000-0005-0000-0000-0000B3000000}"/>
    <cellStyle name="Accent2" xfId="24" builtinId="33" customBuiltin="1"/>
    <cellStyle name="Accent2 2" xfId="206" xr:uid="{00000000-0005-0000-0000-0000B4000000}"/>
    <cellStyle name="Accent2 2 2" xfId="207" xr:uid="{00000000-0005-0000-0000-0000B5000000}"/>
    <cellStyle name="Accent2 2 3" xfId="208" xr:uid="{00000000-0005-0000-0000-0000B6000000}"/>
    <cellStyle name="Accent2 3" xfId="209" xr:uid="{00000000-0005-0000-0000-0000B7000000}"/>
    <cellStyle name="Accent2 3 2" xfId="210" xr:uid="{00000000-0005-0000-0000-0000B8000000}"/>
    <cellStyle name="Accent2 3 3" xfId="211" xr:uid="{00000000-0005-0000-0000-0000B9000000}"/>
    <cellStyle name="Accent3" xfId="28" builtinId="37" customBuiltin="1"/>
    <cellStyle name="Accent3 2" xfId="212" xr:uid="{00000000-0005-0000-0000-0000BA000000}"/>
    <cellStyle name="Accent3 2 2" xfId="213" xr:uid="{00000000-0005-0000-0000-0000BB000000}"/>
    <cellStyle name="Accent3 2 3" xfId="214" xr:uid="{00000000-0005-0000-0000-0000BC000000}"/>
    <cellStyle name="Accent3 3" xfId="215" xr:uid="{00000000-0005-0000-0000-0000BD000000}"/>
    <cellStyle name="Accent3 3 2" xfId="216" xr:uid="{00000000-0005-0000-0000-0000BE000000}"/>
    <cellStyle name="Accent3 3 3" xfId="217" xr:uid="{00000000-0005-0000-0000-0000BF000000}"/>
    <cellStyle name="Accent4" xfId="32" builtinId="41" customBuiltin="1"/>
    <cellStyle name="Accent4 2" xfId="218" xr:uid="{00000000-0005-0000-0000-0000C0000000}"/>
    <cellStyle name="Accent4 2 2" xfId="219" xr:uid="{00000000-0005-0000-0000-0000C1000000}"/>
    <cellStyle name="Accent4 2 3" xfId="220" xr:uid="{00000000-0005-0000-0000-0000C2000000}"/>
    <cellStyle name="Accent4 3" xfId="221" xr:uid="{00000000-0005-0000-0000-0000C3000000}"/>
    <cellStyle name="Accent4 3 2" xfId="222" xr:uid="{00000000-0005-0000-0000-0000C4000000}"/>
    <cellStyle name="Accent4 3 3" xfId="223" xr:uid="{00000000-0005-0000-0000-0000C5000000}"/>
    <cellStyle name="Accent5" xfId="36" builtinId="45" customBuiltin="1"/>
    <cellStyle name="Accent5 2" xfId="224" xr:uid="{00000000-0005-0000-0000-0000C6000000}"/>
    <cellStyle name="Accent5 2 2" xfId="225" xr:uid="{00000000-0005-0000-0000-0000C7000000}"/>
    <cellStyle name="Accent5 2 3" xfId="226" xr:uid="{00000000-0005-0000-0000-0000C8000000}"/>
    <cellStyle name="Accent5 3" xfId="227" xr:uid="{00000000-0005-0000-0000-0000C9000000}"/>
    <cellStyle name="Accent5 3 2" xfId="228" xr:uid="{00000000-0005-0000-0000-0000CA000000}"/>
    <cellStyle name="Accent5 3 3" xfId="229" xr:uid="{00000000-0005-0000-0000-0000CB000000}"/>
    <cellStyle name="Accent6" xfId="40" builtinId="49" customBuiltin="1"/>
    <cellStyle name="Accent6 2" xfId="230" xr:uid="{00000000-0005-0000-0000-0000CC000000}"/>
    <cellStyle name="Accent6 2 2" xfId="231" xr:uid="{00000000-0005-0000-0000-0000CD000000}"/>
    <cellStyle name="Accent6 2 3" xfId="232" xr:uid="{00000000-0005-0000-0000-0000CE000000}"/>
    <cellStyle name="Accent6 3" xfId="233" xr:uid="{00000000-0005-0000-0000-0000CF000000}"/>
    <cellStyle name="Accent6 3 2" xfId="234" xr:uid="{00000000-0005-0000-0000-0000D0000000}"/>
    <cellStyle name="Accent6 3 3" xfId="235" xr:uid="{00000000-0005-0000-0000-0000D1000000}"/>
    <cellStyle name="Anlagenspiegel" xfId="236" xr:uid="{00000000-0005-0000-0000-0000D3000000}"/>
    <cellStyle name="Bad" xfId="10" builtinId="27" customBuiltin="1"/>
    <cellStyle name="Bad 2" xfId="237" xr:uid="{00000000-0005-0000-0000-0000D4000000}"/>
    <cellStyle name="Bad 2 2" xfId="238" xr:uid="{00000000-0005-0000-0000-0000D5000000}"/>
    <cellStyle name="Bad 2 3" xfId="239" xr:uid="{00000000-0005-0000-0000-0000D6000000}"/>
    <cellStyle name="Bad 3" xfId="240" xr:uid="{00000000-0005-0000-0000-0000D7000000}"/>
    <cellStyle name="Bad 3 2" xfId="241" xr:uid="{00000000-0005-0000-0000-0000D8000000}"/>
    <cellStyle name="Bad 3 3" xfId="242" xr:uid="{00000000-0005-0000-0000-0000D9000000}"/>
    <cellStyle name="Calculation" xfId="14" builtinId="22" customBuiltin="1"/>
    <cellStyle name="Calculation 2" xfId="243" xr:uid="{00000000-0005-0000-0000-0000DB000000}"/>
    <cellStyle name="Calculation 2 2" xfId="244" xr:uid="{00000000-0005-0000-0000-0000DC000000}"/>
    <cellStyle name="Calculation 2 3" xfId="245" xr:uid="{00000000-0005-0000-0000-0000DD000000}"/>
    <cellStyle name="Calculation 3" xfId="246" xr:uid="{00000000-0005-0000-0000-0000DE000000}"/>
    <cellStyle name="Calculation 3 2" xfId="247" xr:uid="{00000000-0005-0000-0000-0000DF000000}"/>
    <cellStyle name="Calculation 3 3" xfId="248" xr:uid="{00000000-0005-0000-0000-0000E0000000}"/>
    <cellStyle name="Check Cell" xfId="16" builtinId="23" customBuiltin="1"/>
    <cellStyle name="Check Cell 2" xfId="249" xr:uid="{00000000-0005-0000-0000-0000E3000000}"/>
    <cellStyle name="Check Cell 2 2" xfId="250" xr:uid="{00000000-0005-0000-0000-0000E4000000}"/>
    <cellStyle name="Check Cell 2 3" xfId="251" xr:uid="{00000000-0005-0000-0000-0000E5000000}"/>
    <cellStyle name="Check Cell 3" xfId="252" xr:uid="{00000000-0005-0000-0000-0000E6000000}"/>
    <cellStyle name="Check Cell 3 2" xfId="253" xr:uid="{00000000-0005-0000-0000-0000E7000000}"/>
    <cellStyle name="Check Cell 3 3" xfId="254" xr:uid="{00000000-0005-0000-0000-0000E8000000}"/>
    <cellStyle name="Comma" xfId="1" builtinId="3"/>
    <cellStyle name="Comma 2" xfId="255" xr:uid="{00000000-0005-0000-0000-0000E9000000}"/>
    <cellStyle name="Comma 2 10" xfId="256" xr:uid="{00000000-0005-0000-0000-0000EA000000}"/>
    <cellStyle name="Comma 2 11" xfId="257" xr:uid="{00000000-0005-0000-0000-0000EB000000}"/>
    <cellStyle name="Comma 2 12" xfId="258" xr:uid="{00000000-0005-0000-0000-0000EC000000}"/>
    <cellStyle name="Comma 2 13" xfId="259" xr:uid="{00000000-0005-0000-0000-0000ED000000}"/>
    <cellStyle name="Comma 2 14" xfId="260" xr:uid="{00000000-0005-0000-0000-0000EE000000}"/>
    <cellStyle name="Comma 2 15" xfId="261" xr:uid="{00000000-0005-0000-0000-0000EF000000}"/>
    <cellStyle name="Comma 2 16" xfId="262" xr:uid="{00000000-0005-0000-0000-0000F0000000}"/>
    <cellStyle name="Comma 2 17" xfId="263" xr:uid="{00000000-0005-0000-0000-0000F1000000}"/>
    <cellStyle name="Comma 2 2" xfId="264" xr:uid="{00000000-0005-0000-0000-0000F2000000}"/>
    <cellStyle name="Comma 2 3" xfId="265" xr:uid="{00000000-0005-0000-0000-0000F3000000}"/>
    <cellStyle name="Comma 2 4" xfId="266" xr:uid="{00000000-0005-0000-0000-0000F4000000}"/>
    <cellStyle name="Comma 2 5" xfId="267" xr:uid="{00000000-0005-0000-0000-0000F5000000}"/>
    <cellStyle name="Comma 2 6" xfId="268" xr:uid="{00000000-0005-0000-0000-0000F6000000}"/>
    <cellStyle name="Comma 2 7" xfId="269" xr:uid="{00000000-0005-0000-0000-0000F7000000}"/>
    <cellStyle name="Comma 2 8" xfId="270" xr:uid="{00000000-0005-0000-0000-0000F8000000}"/>
    <cellStyle name="Comma 2 9" xfId="271" xr:uid="{00000000-0005-0000-0000-0000F9000000}"/>
    <cellStyle name="Comma 3" xfId="272" xr:uid="{00000000-0005-0000-0000-0000FA000000}"/>
    <cellStyle name="Comma 4" xfId="273" xr:uid="{00000000-0005-0000-0000-0000FB000000}"/>
    <cellStyle name="Comma 5" xfId="274" xr:uid="{00000000-0005-0000-0000-0000FC000000}"/>
    <cellStyle name="Currency" xfId="2" builtinId="4"/>
    <cellStyle name="Currency 2" xfId="275" xr:uid="{00000000-0005-0000-0000-0000FE000000}"/>
    <cellStyle name="Currency 2 10" xfId="276" xr:uid="{00000000-0005-0000-0000-0000FF000000}"/>
    <cellStyle name="Currency 2 11" xfId="277" xr:uid="{00000000-0005-0000-0000-000000010000}"/>
    <cellStyle name="Currency 2 12" xfId="278" xr:uid="{00000000-0005-0000-0000-000001010000}"/>
    <cellStyle name="Currency 2 13" xfId="279" xr:uid="{00000000-0005-0000-0000-000002010000}"/>
    <cellStyle name="Currency 2 2" xfId="280" xr:uid="{00000000-0005-0000-0000-000003010000}"/>
    <cellStyle name="Currency 2 3" xfId="281" xr:uid="{00000000-0005-0000-0000-000004010000}"/>
    <cellStyle name="Currency 2 4" xfId="282" xr:uid="{00000000-0005-0000-0000-000005010000}"/>
    <cellStyle name="Currency 2 5" xfId="283" xr:uid="{00000000-0005-0000-0000-000006010000}"/>
    <cellStyle name="Currency 2 6" xfId="284" xr:uid="{00000000-0005-0000-0000-000007010000}"/>
    <cellStyle name="Currency 2 7" xfId="285" xr:uid="{00000000-0005-0000-0000-000008010000}"/>
    <cellStyle name="Currency 2 8" xfId="286" xr:uid="{00000000-0005-0000-0000-000009010000}"/>
    <cellStyle name="Currency 2 9" xfId="287" xr:uid="{00000000-0005-0000-0000-00000A010000}"/>
    <cellStyle name="Datum" xfId="288" xr:uid="{00000000-0005-0000-0000-00000B010000}"/>
    <cellStyle name="Datum 2" xfId="289" xr:uid="{00000000-0005-0000-0000-00000C010000}"/>
    <cellStyle name="Datum 2 2" xfId="290" xr:uid="{00000000-0005-0000-0000-00000D010000}"/>
    <cellStyle name="Datum 2 3" xfId="291" xr:uid="{00000000-0005-0000-0000-00000E010000}"/>
    <cellStyle name="Datum 2 4" xfId="292" xr:uid="{00000000-0005-0000-0000-00000F010000}"/>
    <cellStyle name="Datum 2 5" xfId="293" xr:uid="{00000000-0005-0000-0000-000010010000}"/>
    <cellStyle name="Datum 2 6" xfId="294" xr:uid="{00000000-0005-0000-0000-000011010000}"/>
    <cellStyle name="Datum 2 6 2" xfId="295" xr:uid="{00000000-0005-0000-0000-000012010000}"/>
    <cellStyle name="Datum 2 7" xfId="296" xr:uid="{00000000-0005-0000-0000-000013010000}"/>
    <cellStyle name="Datum 2 7 2" xfId="801" xr:uid="{00000000-0005-0000-0000-000014010000}"/>
    <cellStyle name="Datum 3" xfId="297" xr:uid="{00000000-0005-0000-0000-000015010000}"/>
    <cellStyle name="Datum 3 2" xfId="298" xr:uid="{00000000-0005-0000-0000-000016010000}"/>
    <cellStyle name="Datum 3 3" xfId="299" xr:uid="{00000000-0005-0000-0000-000017010000}"/>
    <cellStyle name="Datum 3 4" xfId="300" xr:uid="{00000000-0005-0000-0000-000018010000}"/>
    <cellStyle name="Datum 4" xfId="301" xr:uid="{00000000-0005-0000-0000-000019010000}"/>
    <cellStyle name="Datum 4 2" xfId="302" xr:uid="{00000000-0005-0000-0000-00001A010000}"/>
    <cellStyle name="Datum 4 3" xfId="303" xr:uid="{00000000-0005-0000-0000-00001B010000}"/>
    <cellStyle name="Datum 4 3 2" xfId="304" xr:uid="{00000000-0005-0000-0000-00001C010000}"/>
    <cellStyle name="Datum 4 4" xfId="305" xr:uid="{00000000-0005-0000-0000-00001D010000}"/>
    <cellStyle name="Datum 4 4 2" xfId="798" xr:uid="{00000000-0005-0000-0000-00001E010000}"/>
    <cellStyle name="Euro" xfId="306" xr:uid="{00000000-0005-0000-0000-00002A010000}"/>
    <cellStyle name="Euro 10" xfId="307" xr:uid="{00000000-0005-0000-0000-00002B010000}"/>
    <cellStyle name="Euro 10 2" xfId="308" xr:uid="{00000000-0005-0000-0000-00002C010000}"/>
    <cellStyle name="Euro 10 2 2" xfId="309" xr:uid="{00000000-0005-0000-0000-00002D010000}"/>
    <cellStyle name="Euro 10 2 2 2" xfId="310" xr:uid="{00000000-0005-0000-0000-00002E010000}"/>
    <cellStyle name="Euro 10 2 2 2 2" xfId="311" xr:uid="{00000000-0005-0000-0000-00002F010000}"/>
    <cellStyle name="Euro 10 2 2 2 2 2" xfId="312" xr:uid="{00000000-0005-0000-0000-000030010000}"/>
    <cellStyle name="Euro 10 2 2 3" xfId="313" xr:uid="{00000000-0005-0000-0000-000031010000}"/>
    <cellStyle name="Euro 10 2 2 3 2" xfId="314" xr:uid="{00000000-0005-0000-0000-000032010000}"/>
    <cellStyle name="Euro 10 2 2 4" xfId="315" xr:uid="{00000000-0005-0000-0000-000033010000}"/>
    <cellStyle name="Euro 10 2 3" xfId="316" xr:uid="{00000000-0005-0000-0000-000034010000}"/>
    <cellStyle name="Euro 10 2 3 2" xfId="317" xr:uid="{00000000-0005-0000-0000-000035010000}"/>
    <cellStyle name="Euro 10 2 4" xfId="318" xr:uid="{00000000-0005-0000-0000-000036010000}"/>
    <cellStyle name="Euro 10 2 4 2" xfId="319" xr:uid="{00000000-0005-0000-0000-000037010000}"/>
    <cellStyle name="Euro 10 2 5" xfId="320" xr:uid="{00000000-0005-0000-0000-000038010000}"/>
    <cellStyle name="Euro 10 3" xfId="321" xr:uid="{00000000-0005-0000-0000-000039010000}"/>
    <cellStyle name="Euro 10 3 2" xfId="322" xr:uid="{00000000-0005-0000-0000-00003A010000}"/>
    <cellStyle name="Euro 10 4" xfId="323" xr:uid="{00000000-0005-0000-0000-00003B010000}"/>
    <cellStyle name="Euro 10 4 2" xfId="324" xr:uid="{00000000-0005-0000-0000-00003C010000}"/>
    <cellStyle name="Euro 10 4 3" xfId="325" xr:uid="{00000000-0005-0000-0000-00003D010000}"/>
    <cellStyle name="Euro 10 4 4" xfId="326" xr:uid="{00000000-0005-0000-0000-00003E010000}"/>
    <cellStyle name="Euro 10 5" xfId="327" xr:uid="{00000000-0005-0000-0000-00003F010000}"/>
    <cellStyle name="Euro 10 6" xfId="328" xr:uid="{00000000-0005-0000-0000-000040010000}"/>
    <cellStyle name="Euro 10 6 2" xfId="329" xr:uid="{00000000-0005-0000-0000-000041010000}"/>
    <cellStyle name="Euro 10 7" xfId="330" xr:uid="{00000000-0005-0000-0000-000042010000}"/>
    <cellStyle name="Euro 11" xfId="331" xr:uid="{00000000-0005-0000-0000-000043010000}"/>
    <cellStyle name="Euro 11 2" xfId="332" xr:uid="{00000000-0005-0000-0000-000044010000}"/>
    <cellStyle name="Euro 12" xfId="333" xr:uid="{00000000-0005-0000-0000-000045010000}"/>
    <cellStyle name="Euro 12 2" xfId="334" xr:uid="{00000000-0005-0000-0000-000046010000}"/>
    <cellStyle name="Euro 12 3" xfId="335" xr:uid="{00000000-0005-0000-0000-000047010000}"/>
    <cellStyle name="Euro 12 4" xfId="336" xr:uid="{00000000-0005-0000-0000-000048010000}"/>
    <cellStyle name="Euro 13" xfId="337" xr:uid="{00000000-0005-0000-0000-000049010000}"/>
    <cellStyle name="Euro 13 2" xfId="338" xr:uid="{00000000-0005-0000-0000-00004A010000}"/>
    <cellStyle name="Euro 13 3" xfId="339" xr:uid="{00000000-0005-0000-0000-00004B010000}"/>
    <cellStyle name="Euro 13 4" xfId="340" xr:uid="{00000000-0005-0000-0000-00004C010000}"/>
    <cellStyle name="Euro 13 5" xfId="808" xr:uid="{00000000-0005-0000-0000-00004D010000}"/>
    <cellStyle name="Euro 14" xfId="341" xr:uid="{00000000-0005-0000-0000-00004E010000}"/>
    <cellStyle name="Euro 14 2" xfId="342" xr:uid="{00000000-0005-0000-0000-00004F010000}"/>
    <cellStyle name="Euro 14 3" xfId="343" xr:uid="{00000000-0005-0000-0000-000050010000}"/>
    <cellStyle name="Euro 14 4" xfId="812" xr:uid="{00000000-0005-0000-0000-000051010000}"/>
    <cellStyle name="Euro 15" xfId="344" xr:uid="{00000000-0005-0000-0000-000052010000}"/>
    <cellStyle name="Euro 15 2" xfId="345" xr:uid="{00000000-0005-0000-0000-000053010000}"/>
    <cellStyle name="Euro 15 2 2" xfId="346" xr:uid="{00000000-0005-0000-0000-000054010000}"/>
    <cellStyle name="Euro 15 2 2 2" xfId="347" xr:uid="{00000000-0005-0000-0000-000055010000}"/>
    <cellStyle name="Euro 15 3" xfId="348" xr:uid="{00000000-0005-0000-0000-000056010000}"/>
    <cellStyle name="Euro 15 3 2" xfId="349" xr:uid="{00000000-0005-0000-0000-000057010000}"/>
    <cellStyle name="Euro 15 4" xfId="350" xr:uid="{00000000-0005-0000-0000-000058010000}"/>
    <cellStyle name="Euro 16" xfId="351" xr:uid="{00000000-0005-0000-0000-000059010000}"/>
    <cellStyle name="Euro 16 2" xfId="352" xr:uid="{00000000-0005-0000-0000-00005A010000}"/>
    <cellStyle name="Euro 17" xfId="353" xr:uid="{00000000-0005-0000-0000-00005B010000}"/>
    <cellStyle name="Euro 17 2" xfId="354" xr:uid="{00000000-0005-0000-0000-00005C010000}"/>
    <cellStyle name="Euro 18" xfId="355" xr:uid="{00000000-0005-0000-0000-00005D010000}"/>
    <cellStyle name="Euro 19" xfId="356" xr:uid="{00000000-0005-0000-0000-00005E010000}"/>
    <cellStyle name="Euro 19 2" xfId="357" xr:uid="{00000000-0005-0000-0000-00005F010000}"/>
    <cellStyle name="Euro 19 3" xfId="820" xr:uid="{00000000-0005-0000-0000-000060010000}"/>
    <cellStyle name="Euro 2" xfId="358" xr:uid="{00000000-0005-0000-0000-000061010000}"/>
    <cellStyle name="Euro 2 10" xfId="359" xr:uid="{00000000-0005-0000-0000-000062010000}"/>
    <cellStyle name="Euro 2 2" xfId="360" xr:uid="{00000000-0005-0000-0000-000063010000}"/>
    <cellStyle name="Euro 2 2 2" xfId="361" xr:uid="{00000000-0005-0000-0000-000064010000}"/>
    <cellStyle name="Euro 2 2 2 2" xfId="362" xr:uid="{00000000-0005-0000-0000-000065010000}"/>
    <cellStyle name="Euro 2 2 2 3" xfId="363" xr:uid="{00000000-0005-0000-0000-000066010000}"/>
    <cellStyle name="Euro 2 2 3" xfId="364" xr:uid="{00000000-0005-0000-0000-000067010000}"/>
    <cellStyle name="Euro 2 3" xfId="365" xr:uid="{00000000-0005-0000-0000-000068010000}"/>
    <cellStyle name="Euro 2 4" xfId="366" xr:uid="{00000000-0005-0000-0000-000069010000}"/>
    <cellStyle name="Euro 2 5" xfId="367" xr:uid="{00000000-0005-0000-0000-00006A010000}"/>
    <cellStyle name="Euro 2 5 2" xfId="368" xr:uid="{00000000-0005-0000-0000-00006B010000}"/>
    <cellStyle name="Euro 2 5 2 2" xfId="369" xr:uid="{00000000-0005-0000-0000-00006C010000}"/>
    <cellStyle name="Euro 2 6" xfId="370" xr:uid="{00000000-0005-0000-0000-00006D010000}"/>
    <cellStyle name="Euro 2 6 2" xfId="371" xr:uid="{00000000-0005-0000-0000-00006E010000}"/>
    <cellStyle name="Euro 2 6 3" xfId="372" xr:uid="{00000000-0005-0000-0000-00006F010000}"/>
    <cellStyle name="Euro 2 7" xfId="373" xr:uid="{00000000-0005-0000-0000-000070010000}"/>
    <cellStyle name="Euro 2 8" xfId="374" xr:uid="{00000000-0005-0000-0000-000071010000}"/>
    <cellStyle name="Euro 2 9" xfId="375" xr:uid="{00000000-0005-0000-0000-000072010000}"/>
    <cellStyle name="Euro 3" xfId="376" xr:uid="{00000000-0005-0000-0000-000073010000}"/>
    <cellStyle name="Euro 4" xfId="377" xr:uid="{00000000-0005-0000-0000-000074010000}"/>
    <cellStyle name="Euro 5" xfId="378" xr:uid="{00000000-0005-0000-0000-000075010000}"/>
    <cellStyle name="Euro 6" xfId="379" xr:uid="{00000000-0005-0000-0000-000076010000}"/>
    <cellStyle name="Euro 7" xfId="380" xr:uid="{00000000-0005-0000-0000-000077010000}"/>
    <cellStyle name="Euro 8" xfId="381" xr:uid="{00000000-0005-0000-0000-000078010000}"/>
    <cellStyle name="Euro 9" xfId="382" xr:uid="{00000000-0005-0000-0000-000079010000}"/>
    <cellStyle name="Explanatory Text" xfId="18" builtinId="53" customBuiltin="1"/>
    <cellStyle name="Explanatory Text 2" xfId="383" xr:uid="{00000000-0005-0000-0000-00007A010000}"/>
    <cellStyle name="Explanatory Text 2 2" xfId="384" xr:uid="{00000000-0005-0000-0000-00007B010000}"/>
    <cellStyle name="Explanatory Text 2 3" xfId="385" xr:uid="{00000000-0005-0000-0000-00007C010000}"/>
    <cellStyle name="Explanatory Text 3" xfId="386" xr:uid="{00000000-0005-0000-0000-00007D010000}"/>
    <cellStyle name="Explanatory Text 3 2" xfId="387" xr:uid="{00000000-0005-0000-0000-00007E010000}"/>
    <cellStyle name="Explanatory Text 3 3" xfId="388" xr:uid="{00000000-0005-0000-0000-00007F010000}"/>
    <cellStyle name="Fat line" xfId="389" xr:uid="{00000000-0005-0000-0000-000081010000}"/>
    <cellStyle name="Fat line 2" xfId="390" xr:uid="{00000000-0005-0000-0000-000082010000}"/>
    <cellStyle name="Fat line 2 2" xfId="391" xr:uid="{00000000-0005-0000-0000-000083010000}"/>
    <cellStyle name="Fat line 2 3" xfId="392" xr:uid="{00000000-0005-0000-0000-000084010000}"/>
    <cellStyle name="Fat line 2 4" xfId="393" xr:uid="{00000000-0005-0000-0000-000085010000}"/>
    <cellStyle name="Fat line 2 5" xfId="811" xr:uid="{00000000-0005-0000-0000-000086010000}"/>
    <cellStyle name="Fat line 3" xfId="394" xr:uid="{00000000-0005-0000-0000-000087010000}"/>
    <cellStyle name="Fat line 3 2" xfId="395" xr:uid="{00000000-0005-0000-0000-000088010000}"/>
    <cellStyle name="Fat line 3 3" xfId="396" xr:uid="{00000000-0005-0000-0000-000089010000}"/>
    <cellStyle name="Fat line 3 4" xfId="397" xr:uid="{00000000-0005-0000-0000-00008A010000}"/>
    <cellStyle name="Fat line 4" xfId="398" xr:uid="{00000000-0005-0000-0000-00008B010000}"/>
    <cellStyle name="Fat line 4 2" xfId="399" xr:uid="{00000000-0005-0000-0000-00008C010000}"/>
    <cellStyle name="Fat line 4 3" xfId="817" xr:uid="{00000000-0005-0000-0000-00008D010000}"/>
    <cellStyle name="Followed Hyperlink" xfId="833" builtinId="9" hidden="1"/>
    <cellStyle name="Followed Hyperlink" xfId="835" builtinId="9" hidden="1"/>
    <cellStyle name="Followed Hyperlink" xfId="837" builtinId="9" hidden="1"/>
    <cellStyle name="Followed Hyperlink" xfId="839" builtinId="9" hidden="1"/>
    <cellStyle name="Followed Hyperlink" xfId="841" builtinId="9" hidden="1"/>
    <cellStyle name="Followed Hyperlink" xfId="843" builtinId="9" hidden="1"/>
    <cellStyle name="Followed Hyperlink" xfId="845" builtinId="9" hidden="1"/>
    <cellStyle name="Followed Hyperlink" xfId="847" builtinId="9" hidden="1"/>
    <cellStyle name="Followed Hyperlink" xfId="849" builtinId="9" hidden="1"/>
    <cellStyle name="Followed Hyperlink" xfId="851" builtinId="9" hidden="1"/>
    <cellStyle name="Followed Hyperlink" xfId="853" builtinId="9" hidden="1"/>
    <cellStyle name="Followed Hyperlink" xfId="855" builtinId="9" hidden="1"/>
    <cellStyle name="Followed Hyperlink" xfId="857" builtinId="9" hidden="1"/>
    <cellStyle name="Followed Hyperlink" xfId="859" builtinId="9" hidden="1"/>
    <cellStyle name="Followed Hyperlink" xfId="861" builtinId="9" hidden="1"/>
    <cellStyle name="Followed Hyperlink" xfId="863" builtinId="9" hidden="1"/>
    <cellStyle name="Followed Hyperlink" xfId="865" builtinId="9" hidden="1"/>
    <cellStyle name="Followed Hyperlink" xfId="867" builtinId="9" hidden="1"/>
    <cellStyle name="Followed Hyperlink" xfId="869" builtinId="9" hidden="1"/>
    <cellStyle name="Followed Hyperlink" xfId="871" builtinId="9" hidden="1"/>
    <cellStyle name="Followed Hyperlink" xfId="873" builtinId="9" hidden="1"/>
    <cellStyle name="Followed Hyperlink" xfId="875" builtinId="9" hidden="1"/>
    <cellStyle name="Followed Hyperlink" xfId="877" builtinId="9" hidden="1"/>
    <cellStyle name="Followed Hyperlink" xfId="879" builtinId="9" hidden="1"/>
    <cellStyle name="Followed Hyperlink" xfId="881" builtinId="9" hidden="1"/>
    <cellStyle name="Followed Hyperlink" xfId="883" builtinId="9" hidden="1"/>
    <cellStyle name="Followed Hyperlink" xfId="885" builtinId="9" hidden="1"/>
    <cellStyle name="Followed Hyperlink" xfId="887" builtinId="9" hidden="1"/>
    <cellStyle name="Followed Hyperlink" xfId="889" builtinId="9" hidden="1"/>
    <cellStyle name="Followed Hyperlink" xfId="891" builtinId="9" hidden="1"/>
    <cellStyle name="Followed Hyperlink" xfId="893" builtinId="9" hidden="1"/>
    <cellStyle name="Followed Hyperlink" xfId="895" builtinId="9" hidden="1"/>
    <cellStyle name="Followed Hyperlink" xfId="897" builtinId="9" hidden="1"/>
    <cellStyle name="Followed Hyperlink" xfId="899" builtinId="9" hidden="1"/>
    <cellStyle name="Followed Hyperlink" xfId="901" builtinId="9" hidden="1"/>
    <cellStyle name="Followed Hyperlink" xfId="903" builtinId="9" hidden="1"/>
    <cellStyle name="Followed Hyperlink" xfId="905" builtinId="9" hidden="1"/>
    <cellStyle name="Followed Hyperlink" xfId="907" builtinId="9" hidden="1"/>
    <cellStyle name="Followed Hyperlink" xfId="909" builtinId="9" hidden="1"/>
    <cellStyle name="Followed Hyperlink" xfId="911" builtinId="9" hidden="1"/>
    <cellStyle name="Followed Hyperlink" xfId="913" builtinId="9" hidden="1"/>
    <cellStyle name="Followed Hyperlink" xfId="915" builtinId="9" hidden="1"/>
    <cellStyle name="Followed Hyperlink" xfId="917" builtinId="9" hidden="1"/>
    <cellStyle name="Followed Hyperlink" xfId="919" builtinId="9" hidden="1"/>
    <cellStyle name="Followed Hyperlink" xfId="921" builtinId="9" hidden="1"/>
    <cellStyle name="Followed Hyperlink" xfId="923" builtinId="9" hidden="1"/>
    <cellStyle name="Followed Hyperlink" xfId="925" builtinId="9" hidden="1"/>
    <cellStyle name="Good" xfId="9" builtinId="26" customBuiltin="1"/>
    <cellStyle name="Good 2" xfId="400" xr:uid="{00000000-0005-0000-0000-00008E010000}"/>
    <cellStyle name="Good 2 2" xfId="401" xr:uid="{00000000-0005-0000-0000-00008F010000}"/>
    <cellStyle name="Good 2 3" xfId="402" xr:uid="{00000000-0005-0000-0000-000090010000}"/>
    <cellStyle name="Good 3" xfId="403" xr:uid="{00000000-0005-0000-0000-000091010000}"/>
    <cellStyle name="Good 3 2" xfId="404" xr:uid="{00000000-0005-0000-0000-000092010000}"/>
    <cellStyle name="Good 3 3" xfId="405" xr:uid="{00000000-0005-0000-0000-000093010000}"/>
    <cellStyle name="Heading 1" xfId="5" builtinId="16" customBuiltin="1"/>
    <cellStyle name="Heading 1 2" xfId="406" xr:uid="{00000000-0005-0000-0000-000094010000}"/>
    <cellStyle name="Heading 1 2 2" xfId="407" xr:uid="{00000000-0005-0000-0000-000095010000}"/>
    <cellStyle name="Heading 1 2 3" xfId="408" xr:uid="{00000000-0005-0000-0000-000096010000}"/>
    <cellStyle name="Heading 1 3" xfId="409" xr:uid="{00000000-0005-0000-0000-000097010000}"/>
    <cellStyle name="Heading 1 3 2" xfId="410" xr:uid="{00000000-0005-0000-0000-000098010000}"/>
    <cellStyle name="Heading 1 3 3" xfId="411" xr:uid="{00000000-0005-0000-0000-000099010000}"/>
    <cellStyle name="Heading 2" xfId="6" builtinId="17" customBuiltin="1"/>
    <cellStyle name="Heading 2 2" xfId="412" xr:uid="{00000000-0005-0000-0000-00009A010000}"/>
    <cellStyle name="Heading 2 2 2" xfId="413" xr:uid="{00000000-0005-0000-0000-00009B010000}"/>
    <cellStyle name="Heading 2 2 3" xfId="414" xr:uid="{00000000-0005-0000-0000-00009C010000}"/>
    <cellStyle name="Heading 2 3" xfId="415" xr:uid="{00000000-0005-0000-0000-00009D010000}"/>
    <cellStyle name="Heading 2 3 2" xfId="416" xr:uid="{00000000-0005-0000-0000-00009E010000}"/>
    <cellStyle name="Heading 2 3 3" xfId="417" xr:uid="{00000000-0005-0000-0000-00009F010000}"/>
    <cellStyle name="Heading 3" xfId="7" builtinId="18" customBuiltin="1"/>
    <cellStyle name="Heading 3 2" xfId="418" xr:uid="{00000000-0005-0000-0000-0000A0010000}"/>
    <cellStyle name="Heading 3 2 2" xfId="419" xr:uid="{00000000-0005-0000-0000-0000A1010000}"/>
    <cellStyle name="Heading 3 2 3" xfId="420" xr:uid="{00000000-0005-0000-0000-0000A2010000}"/>
    <cellStyle name="Heading 3 3" xfId="421" xr:uid="{00000000-0005-0000-0000-0000A3010000}"/>
    <cellStyle name="Heading 3 3 2" xfId="422" xr:uid="{00000000-0005-0000-0000-0000A4010000}"/>
    <cellStyle name="Heading 3 3 3" xfId="423" xr:uid="{00000000-0005-0000-0000-0000A5010000}"/>
    <cellStyle name="Heading 4" xfId="8" builtinId="19" customBuiltin="1"/>
    <cellStyle name="Heading 4 2" xfId="424" xr:uid="{00000000-0005-0000-0000-0000A6010000}"/>
    <cellStyle name="Heading 4 2 2" xfId="425" xr:uid="{00000000-0005-0000-0000-0000A7010000}"/>
    <cellStyle name="Heading 4 2 3" xfId="426" xr:uid="{00000000-0005-0000-0000-0000A8010000}"/>
    <cellStyle name="Heading 4 3" xfId="427" xr:uid="{00000000-0005-0000-0000-0000A9010000}"/>
    <cellStyle name="Heading 4 3 2" xfId="428" xr:uid="{00000000-0005-0000-0000-0000AA010000}"/>
    <cellStyle name="Heading 4 3 3" xfId="429" xr:uid="{00000000-0005-0000-0000-0000AB010000}"/>
    <cellStyle name="Hyperlink" xfId="832" builtinId="8" hidden="1"/>
    <cellStyle name="Hyperlink" xfId="834" builtinId="8" hidden="1"/>
    <cellStyle name="Hyperlink" xfId="836" builtinId="8" hidden="1"/>
    <cellStyle name="Hyperlink" xfId="838" builtinId="8" hidden="1"/>
    <cellStyle name="Hyperlink" xfId="840" builtinId="8" hidden="1"/>
    <cellStyle name="Hyperlink" xfId="842" builtinId="8" hidden="1"/>
    <cellStyle name="Hyperlink" xfId="844" builtinId="8" hidden="1"/>
    <cellStyle name="Hyperlink" xfId="846" builtinId="8" hidden="1"/>
    <cellStyle name="Hyperlink" xfId="848" builtinId="8" hidden="1"/>
    <cellStyle name="Hyperlink" xfId="850" builtinId="8" hidden="1"/>
    <cellStyle name="Hyperlink" xfId="852" builtinId="8" hidden="1"/>
    <cellStyle name="Hyperlink" xfId="854" builtinId="8" hidden="1"/>
    <cellStyle name="Hyperlink" xfId="856" builtinId="8" hidden="1"/>
    <cellStyle name="Hyperlink" xfId="858" builtinId="8" hidden="1"/>
    <cellStyle name="Hyperlink" xfId="860" builtinId="8" hidden="1"/>
    <cellStyle name="Hyperlink" xfId="862" builtinId="8" hidden="1"/>
    <cellStyle name="Hyperlink" xfId="864" builtinId="8" hidden="1"/>
    <cellStyle name="Hyperlink" xfId="866" builtinId="8" hidden="1"/>
    <cellStyle name="Hyperlink" xfId="868" builtinId="8" hidden="1"/>
    <cellStyle name="Hyperlink" xfId="870" builtinId="8" hidden="1"/>
    <cellStyle name="Hyperlink" xfId="872" builtinId="8" hidden="1"/>
    <cellStyle name="Hyperlink" xfId="874" builtinId="8" hidden="1"/>
    <cellStyle name="Hyperlink" xfId="876" builtinId="8" hidden="1"/>
    <cellStyle name="Hyperlink" xfId="878" builtinId="8" hidden="1"/>
    <cellStyle name="Hyperlink" xfId="880" builtinId="8" hidden="1"/>
    <cellStyle name="Hyperlink" xfId="882" builtinId="8" hidden="1"/>
    <cellStyle name="Hyperlink" xfId="884" builtinId="8" hidden="1"/>
    <cellStyle name="Hyperlink" xfId="886" builtinId="8" hidden="1"/>
    <cellStyle name="Hyperlink" xfId="888" builtinId="8" hidden="1"/>
    <cellStyle name="Hyperlink" xfId="890" builtinId="8" hidden="1"/>
    <cellStyle name="Hyperlink" xfId="892" builtinId="8" hidden="1"/>
    <cellStyle name="Hyperlink" xfId="894" builtinId="8" hidden="1"/>
    <cellStyle name="Hyperlink" xfId="896" builtinId="8" hidden="1"/>
    <cellStyle name="Hyperlink" xfId="898" builtinId="8" hidden="1"/>
    <cellStyle name="Hyperlink" xfId="900" builtinId="8" hidden="1"/>
    <cellStyle name="Hyperlink" xfId="902" builtinId="8" hidden="1"/>
    <cellStyle name="Hyperlink" xfId="904" builtinId="8" hidden="1"/>
    <cellStyle name="Hyperlink" xfId="906" builtinId="8" hidden="1"/>
    <cellStyle name="Hyperlink" xfId="908" builtinId="8" hidden="1"/>
    <cellStyle name="Hyperlink" xfId="910" builtinId="8" hidden="1"/>
    <cellStyle name="Hyperlink" xfId="912" builtinId="8" hidden="1"/>
    <cellStyle name="Hyperlink" xfId="914" builtinId="8" hidden="1"/>
    <cellStyle name="Hyperlink" xfId="916" builtinId="8" hidden="1"/>
    <cellStyle name="Hyperlink" xfId="918" builtinId="8" hidden="1"/>
    <cellStyle name="Hyperlink" xfId="920" builtinId="8" hidden="1"/>
    <cellStyle name="Hyperlink" xfId="922" builtinId="8" hidden="1"/>
    <cellStyle name="Hyperlink" xfId="924" builtinId="8" hidden="1"/>
    <cellStyle name="Hyperlink 2" xfId="430" xr:uid="{00000000-0005-0000-0000-00000A020000}"/>
    <cellStyle name="Hyperlink 3" xfId="431" xr:uid="{00000000-0005-0000-0000-00000B020000}"/>
    <cellStyle name="Input" xfId="12" builtinId="20" customBuiltin="1"/>
    <cellStyle name="Input 2" xfId="432" xr:uid="{00000000-0005-0000-0000-00000D020000}"/>
    <cellStyle name="Input 2 2" xfId="433" xr:uid="{00000000-0005-0000-0000-00000E020000}"/>
    <cellStyle name="Input 2 3" xfId="434" xr:uid="{00000000-0005-0000-0000-00000F020000}"/>
    <cellStyle name="Input 3" xfId="435" xr:uid="{00000000-0005-0000-0000-000010020000}"/>
    <cellStyle name="Input 3 2" xfId="436" xr:uid="{00000000-0005-0000-0000-000011020000}"/>
    <cellStyle name="Input 3 3" xfId="437" xr:uid="{00000000-0005-0000-0000-000012020000}"/>
    <cellStyle name="Komma 2" xfId="438" xr:uid="{00000000-0005-0000-0000-000013020000}"/>
    <cellStyle name="Komma 3" xfId="439" xr:uid="{00000000-0005-0000-0000-000014020000}"/>
    <cellStyle name="Komma 4" xfId="440" xr:uid="{00000000-0005-0000-0000-000015020000}"/>
    <cellStyle name="Linked Cell" xfId="15" builtinId="24" customBuiltin="1"/>
    <cellStyle name="Linked Cell 2" xfId="441" xr:uid="{00000000-0005-0000-0000-000016020000}"/>
    <cellStyle name="Linked Cell 2 2" xfId="442" xr:uid="{00000000-0005-0000-0000-000017020000}"/>
    <cellStyle name="Linked Cell 2 3" xfId="443" xr:uid="{00000000-0005-0000-0000-000018020000}"/>
    <cellStyle name="Linked Cell 3" xfId="444" xr:uid="{00000000-0005-0000-0000-000019020000}"/>
    <cellStyle name="Linked Cell 3 2" xfId="445" xr:uid="{00000000-0005-0000-0000-00001A020000}"/>
    <cellStyle name="Linked Cell 3 3" xfId="446" xr:uid="{00000000-0005-0000-0000-00001B020000}"/>
    <cellStyle name="masag" xfId="447" xr:uid="{00000000-0005-0000-0000-00001C020000}"/>
    <cellStyle name="masag 2" xfId="448" xr:uid="{00000000-0005-0000-0000-00001D020000}"/>
    <cellStyle name="masag 2 2" xfId="449" xr:uid="{00000000-0005-0000-0000-00001E020000}"/>
    <cellStyle name="masag 2 3" xfId="450" xr:uid="{00000000-0005-0000-0000-00001F020000}"/>
    <cellStyle name="masag 2 4" xfId="451" xr:uid="{00000000-0005-0000-0000-000020020000}"/>
    <cellStyle name="masag 2 5" xfId="810" xr:uid="{00000000-0005-0000-0000-000021020000}"/>
    <cellStyle name="masag 3" xfId="452" xr:uid="{00000000-0005-0000-0000-000022020000}"/>
    <cellStyle name="masag 3 2" xfId="453" xr:uid="{00000000-0005-0000-0000-000023020000}"/>
    <cellStyle name="masag 3 3" xfId="454" xr:uid="{00000000-0005-0000-0000-000024020000}"/>
    <cellStyle name="masag 3 4" xfId="455" xr:uid="{00000000-0005-0000-0000-000025020000}"/>
    <cellStyle name="masag 4" xfId="456" xr:uid="{00000000-0005-0000-0000-000026020000}"/>
    <cellStyle name="masag 4 2" xfId="457" xr:uid="{00000000-0005-0000-0000-000027020000}"/>
    <cellStyle name="masag 4 3" xfId="819" xr:uid="{00000000-0005-0000-0000-000028020000}"/>
    <cellStyle name="memo" xfId="458" xr:uid="{00000000-0005-0000-0000-000029020000}"/>
    <cellStyle name="Migliaia (0)_FluxTresoMaquette2003new" xfId="459" xr:uid="{00000000-0005-0000-0000-00002A020000}"/>
    <cellStyle name="Millares 2" xfId="460" xr:uid="{00000000-0005-0000-0000-00002C020000}"/>
    <cellStyle name="Millares 3" xfId="461" xr:uid="{00000000-0005-0000-0000-00002D020000}"/>
    <cellStyle name="Millares 4" xfId="462" xr:uid="{00000000-0005-0000-0000-00002E020000}"/>
    <cellStyle name="Moneda 2" xfId="463" xr:uid="{00000000-0005-0000-0000-000030020000}"/>
    <cellStyle name="Neutral" xfId="11" builtinId="28" customBuiltin="1"/>
    <cellStyle name="Neutral 2" xfId="464" xr:uid="{00000000-0005-0000-0000-000032020000}"/>
    <cellStyle name="Neutral 2 2" xfId="465" xr:uid="{00000000-0005-0000-0000-000033020000}"/>
    <cellStyle name="Neutral 2 3" xfId="466" xr:uid="{00000000-0005-0000-0000-000034020000}"/>
    <cellStyle name="Neutral 3" xfId="467" xr:uid="{00000000-0005-0000-0000-000035020000}"/>
    <cellStyle name="Neutral 3 2" xfId="468" xr:uid="{00000000-0005-0000-0000-000036020000}"/>
    <cellStyle name="Neutral 3 3" xfId="469" xr:uid="{00000000-0005-0000-0000-000037020000}"/>
    <cellStyle name="Normal" xfId="0" builtinId="0"/>
    <cellStyle name="Normal 10" xfId="470" xr:uid="{00000000-0005-0000-0000-000039020000}"/>
    <cellStyle name="Normal 11" xfId="471" xr:uid="{00000000-0005-0000-0000-00003A020000}"/>
    <cellStyle name="Normal 12" xfId="472" xr:uid="{00000000-0005-0000-0000-00003B020000}"/>
    <cellStyle name="Normal 12 2" xfId="473" xr:uid="{00000000-0005-0000-0000-00003C020000}"/>
    <cellStyle name="Normal 12 3" xfId="821" xr:uid="{00000000-0005-0000-0000-00003D020000}"/>
    <cellStyle name="Normal 13" xfId="474" xr:uid="{00000000-0005-0000-0000-00003E020000}"/>
    <cellStyle name="Normal 13 2" xfId="475" xr:uid="{00000000-0005-0000-0000-00003F020000}"/>
    <cellStyle name="Normal 13 3" xfId="476" xr:uid="{00000000-0005-0000-0000-000040020000}"/>
    <cellStyle name="Normal 2" xfId="477" xr:uid="{00000000-0005-0000-0000-000041020000}"/>
    <cellStyle name="Normal 2 10" xfId="478" xr:uid="{00000000-0005-0000-0000-000042020000}"/>
    <cellStyle name="Normal 2 11" xfId="479" xr:uid="{00000000-0005-0000-0000-000043020000}"/>
    <cellStyle name="Normal 2 12" xfId="480" xr:uid="{00000000-0005-0000-0000-000044020000}"/>
    <cellStyle name="Normal 2 13" xfId="481" xr:uid="{00000000-0005-0000-0000-000045020000}"/>
    <cellStyle name="Normal 2 14" xfId="482" xr:uid="{00000000-0005-0000-0000-000046020000}"/>
    <cellStyle name="Normal 2 15" xfId="483" xr:uid="{00000000-0005-0000-0000-000047020000}"/>
    <cellStyle name="Normal 2 16" xfId="484" xr:uid="{00000000-0005-0000-0000-000048020000}"/>
    <cellStyle name="Normal 2 17" xfId="485" xr:uid="{00000000-0005-0000-0000-000049020000}"/>
    <cellStyle name="Normal 2 18" xfId="486" xr:uid="{00000000-0005-0000-0000-00004A020000}"/>
    <cellStyle name="Normal 2 19" xfId="487" xr:uid="{00000000-0005-0000-0000-00004B020000}"/>
    <cellStyle name="Normal 2 2" xfId="488" xr:uid="{00000000-0005-0000-0000-00004C020000}"/>
    <cellStyle name="Normal 2 2 2" xfId="489" xr:uid="{00000000-0005-0000-0000-00004D020000}"/>
    <cellStyle name="Normal 2 2 2 2" xfId="490" xr:uid="{00000000-0005-0000-0000-00004E020000}"/>
    <cellStyle name="Normal 2 3" xfId="491" xr:uid="{00000000-0005-0000-0000-00004F020000}"/>
    <cellStyle name="Normal 2 3 2" xfId="492" xr:uid="{00000000-0005-0000-0000-000050020000}"/>
    <cellStyle name="Normal 2 4" xfId="493" xr:uid="{00000000-0005-0000-0000-000051020000}"/>
    <cellStyle name="Normal 2 5" xfId="494" xr:uid="{00000000-0005-0000-0000-000052020000}"/>
    <cellStyle name="Normal 2 5 2" xfId="495" xr:uid="{00000000-0005-0000-0000-000053020000}"/>
    <cellStyle name="Normal 2 6" xfId="496" xr:uid="{00000000-0005-0000-0000-000054020000}"/>
    <cellStyle name="Normal 2 6 2" xfId="497" xr:uid="{00000000-0005-0000-0000-000055020000}"/>
    <cellStyle name="Normal 2 7" xfId="498" xr:uid="{00000000-0005-0000-0000-000056020000}"/>
    <cellStyle name="Normal 2 8" xfId="499" xr:uid="{00000000-0005-0000-0000-000057020000}"/>
    <cellStyle name="Normal 2 9" xfId="500" xr:uid="{00000000-0005-0000-0000-000058020000}"/>
    <cellStyle name="Normal 3" xfId="501" xr:uid="{00000000-0005-0000-0000-000059020000}"/>
    <cellStyle name="Normal 3 10" xfId="502" xr:uid="{00000000-0005-0000-0000-00005A020000}"/>
    <cellStyle name="Normal 3 11" xfId="503" xr:uid="{00000000-0005-0000-0000-00005B020000}"/>
    <cellStyle name="Normal 3 12" xfId="504" xr:uid="{00000000-0005-0000-0000-00005C020000}"/>
    <cellStyle name="Normal 3 13" xfId="505" xr:uid="{00000000-0005-0000-0000-00005D020000}"/>
    <cellStyle name="Normal 3 14" xfId="506" xr:uid="{00000000-0005-0000-0000-00005E020000}"/>
    <cellStyle name="Normal 3 15" xfId="507" xr:uid="{00000000-0005-0000-0000-00005F020000}"/>
    <cellStyle name="Normal 3 16" xfId="508" xr:uid="{00000000-0005-0000-0000-000060020000}"/>
    <cellStyle name="Normal 3 17" xfId="509" xr:uid="{00000000-0005-0000-0000-000061020000}"/>
    <cellStyle name="Normal 3 2" xfId="510" xr:uid="{00000000-0005-0000-0000-000062020000}"/>
    <cellStyle name="Normal 3 2 2" xfId="511" xr:uid="{00000000-0005-0000-0000-000063020000}"/>
    <cellStyle name="Normal 3 2 2 2" xfId="512" xr:uid="{00000000-0005-0000-0000-000064020000}"/>
    <cellStyle name="Normal 3 2 2 2 2" xfId="513" xr:uid="{00000000-0005-0000-0000-000065020000}"/>
    <cellStyle name="Normal 3 2 2 2 3" xfId="514" xr:uid="{00000000-0005-0000-0000-000066020000}"/>
    <cellStyle name="Normal 3 2 2 2 4" xfId="515" xr:uid="{00000000-0005-0000-0000-000067020000}"/>
    <cellStyle name="Normal 3 2 2 3" xfId="516" xr:uid="{00000000-0005-0000-0000-000068020000}"/>
    <cellStyle name="Normal 3 2 3" xfId="517" xr:uid="{00000000-0005-0000-0000-000069020000}"/>
    <cellStyle name="Normal 3 2 3 2" xfId="518" xr:uid="{00000000-0005-0000-0000-00006A020000}"/>
    <cellStyle name="Normal 3 2 3 3" xfId="519" xr:uid="{00000000-0005-0000-0000-00006B020000}"/>
    <cellStyle name="Normal 3 2 4" xfId="520" xr:uid="{00000000-0005-0000-0000-00006C020000}"/>
    <cellStyle name="Normal 3 2 5" xfId="521" xr:uid="{00000000-0005-0000-0000-00006D020000}"/>
    <cellStyle name="Normal 3 3" xfId="522" xr:uid="{00000000-0005-0000-0000-00006E020000}"/>
    <cellStyle name="Normal 3 3 2" xfId="523" xr:uid="{00000000-0005-0000-0000-00006F020000}"/>
    <cellStyle name="Normal 3 3 2 2" xfId="524" xr:uid="{00000000-0005-0000-0000-000070020000}"/>
    <cellStyle name="Normal 3 3 2 3" xfId="525" xr:uid="{00000000-0005-0000-0000-000071020000}"/>
    <cellStyle name="Normal 3 3 2 4" xfId="526" xr:uid="{00000000-0005-0000-0000-000072020000}"/>
    <cellStyle name="Normal 3 3 2 5" xfId="527" xr:uid="{00000000-0005-0000-0000-000073020000}"/>
    <cellStyle name="Normal 3 3 3" xfId="528" xr:uid="{00000000-0005-0000-0000-000074020000}"/>
    <cellStyle name="Normal 3 3 3 2" xfId="529" xr:uid="{00000000-0005-0000-0000-000075020000}"/>
    <cellStyle name="Normal 3 3 3 3" xfId="530" xr:uid="{00000000-0005-0000-0000-000076020000}"/>
    <cellStyle name="Normal 3 4" xfId="531" xr:uid="{00000000-0005-0000-0000-000077020000}"/>
    <cellStyle name="Normal 3 4 2" xfId="532" xr:uid="{00000000-0005-0000-0000-000078020000}"/>
    <cellStyle name="Normal 3 4 2 2" xfId="533" xr:uid="{00000000-0005-0000-0000-000079020000}"/>
    <cellStyle name="Normal 3 4 2 3" xfId="534" xr:uid="{00000000-0005-0000-0000-00007A020000}"/>
    <cellStyle name="Normal 3 4 2 4" xfId="535" xr:uid="{00000000-0005-0000-0000-00007B020000}"/>
    <cellStyle name="Normal 3 4 2 5" xfId="536" xr:uid="{00000000-0005-0000-0000-00007C020000}"/>
    <cellStyle name="Normal 3 4 3" xfId="537" xr:uid="{00000000-0005-0000-0000-00007D020000}"/>
    <cellStyle name="Normal 3 4 3 2" xfId="538" xr:uid="{00000000-0005-0000-0000-00007E020000}"/>
    <cellStyle name="Normal 3 4 3 3" xfId="539" xr:uid="{00000000-0005-0000-0000-00007F020000}"/>
    <cellStyle name="Normal 3 5" xfId="540" xr:uid="{00000000-0005-0000-0000-000080020000}"/>
    <cellStyle name="Normal 3 5 2" xfId="541" xr:uid="{00000000-0005-0000-0000-000081020000}"/>
    <cellStyle name="Normal 3 5 2 2" xfId="542" xr:uid="{00000000-0005-0000-0000-000082020000}"/>
    <cellStyle name="Normal 3 5 2 3" xfId="543" xr:uid="{00000000-0005-0000-0000-000083020000}"/>
    <cellStyle name="Normal 3 5 2 4" xfId="544" xr:uid="{00000000-0005-0000-0000-000084020000}"/>
    <cellStyle name="Normal 3 5 2 5" xfId="545" xr:uid="{00000000-0005-0000-0000-000085020000}"/>
    <cellStyle name="Normal 3 5 3" xfId="546" xr:uid="{00000000-0005-0000-0000-000086020000}"/>
    <cellStyle name="Normal 3 5 3 2" xfId="547" xr:uid="{00000000-0005-0000-0000-000087020000}"/>
    <cellStyle name="Normal 3 5 3 3" xfId="548" xr:uid="{00000000-0005-0000-0000-000088020000}"/>
    <cellStyle name="Normal 3 6" xfId="549" xr:uid="{00000000-0005-0000-0000-000089020000}"/>
    <cellStyle name="Normal 3 6 2" xfId="550" xr:uid="{00000000-0005-0000-0000-00008A020000}"/>
    <cellStyle name="Normal 3 6 2 2" xfId="551" xr:uid="{00000000-0005-0000-0000-00008B020000}"/>
    <cellStyle name="Normal 3 6 2 3" xfId="552" xr:uid="{00000000-0005-0000-0000-00008C020000}"/>
    <cellStyle name="Normal 3 6 3" xfId="553" xr:uid="{00000000-0005-0000-0000-00008D020000}"/>
    <cellStyle name="Normal 3 6 3 2" xfId="554" xr:uid="{00000000-0005-0000-0000-00008E020000}"/>
    <cellStyle name="Normal 3 6 3 3" xfId="555" xr:uid="{00000000-0005-0000-0000-00008F020000}"/>
    <cellStyle name="Normal 3 7" xfId="556" xr:uid="{00000000-0005-0000-0000-000090020000}"/>
    <cellStyle name="Normal 3 8" xfId="557" xr:uid="{00000000-0005-0000-0000-000091020000}"/>
    <cellStyle name="Normal 3 9" xfId="558" xr:uid="{00000000-0005-0000-0000-000092020000}"/>
    <cellStyle name="Normal 3_DoboGER" xfId="559" xr:uid="{00000000-0005-0000-0000-000093020000}"/>
    <cellStyle name="Normal 4" xfId="560" xr:uid="{00000000-0005-0000-0000-000094020000}"/>
    <cellStyle name="Normal 4 2" xfId="561" xr:uid="{00000000-0005-0000-0000-000095020000}"/>
    <cellStyle name="Normal 4 2 2" xfId="562" xr:uid="{00000000-0005-0000-0000-000096020000}"/>
    <cellStyle name="Normal 4 2 2 2" xfId="828" xr:uid="{00000000-0005-0000-0000-000097020000}"/>
    <cellStyle name="Normal 4 3" xfId="563" xr:uid="{00000000-0005-0000-0000-000098020000}"/>
    <cellStyle name="Normal 4 3 2" xfId="564" xr:uid="{00000000-0005-0000-0000-000099020000}"/>
    <cellStyle name="Normal 4 3 2 2" xfId="830" xr:uid="{00000000-0005-0000-0000-00009A020000}"/>
    <cellStyle name="Normal 4 4" xfId="565" xr:uid="{00000000-0005-0000-0000-00009B020000}"/>
    <cellStyle name="Normal 4 4 2" xfId="566" xr:uid="{00000000-0005-0000-0000-00009C020000}"/>
    <cellStyle name="Normal 4 5" xfId="567" xr:uid="{00000000-0005-0000-0000-00009D020000}"/>
    <cellStyle name="Normal 4 5 2" xfId="568" xr:uid="{00000000-0005-0000-0000-00009E020000}"/>
    <cellStyle name="Normal 4 6" xfId="818" xr:uid="{00000000-0005-0000-0000-00009F020000}"/>
    <cellStyle name="Normal 5" xfId="569" xr:uid="{00000000-0005-0000-0000-0000A0020000}"/>
    <cellStyle name="Normal 5 10" xfId="570" xr:uid="{00000000-0005-0000-0000-0000A1020000}"/>
    <cellStyle name="Normal 5 10 2" xfId="571" xr:uid="{00000000-0005-0000-0000-0000A2020000}"/>
    <cellStyle name="Normal 5 10 3" xfId="826" xr:uid="{00000000-0005-0000-0000-0000A3020000}"/>
    <cellStyle name="Normal 5 11" xfId="572" xr:uid="{00000000-0005-0000-0000-0000A4020000}"/>
    <cellStyle name="Normal 5 12" xfId="573" xr:uid="{00000000-0005-0000-0000-0000A5020000}"/>
    <cellStyle name="Normal 5 2" xfId="574" xr:uid="{00000000-0005-0000-0000-0000A6020000}"/>
    <cellStyle name="Normal 5 2 2" xfId="575" xr:uid="{00000000-0005-0000-0000-0000A7020000}"/>
    <cellStyle name="Normal 5 2 2 2" xfId="576" xr:uid="{00000000-0005-0000-0000-0000A8020000}"/>
    <cellStyle name="Normal 5 2 2 3" xfId="829" xr:uid="{00000000-0005-0000-0000-0000A9020000}"/>
    <cellStyle name="Normal 5 3" xfId="577" xr:uid="{00000000-0005-0000-0000-0000AA020000}"/>
    <cellStyle name="Normal 5 3 2" xfId="578" xr:uid="{00000000-0005-0000-0000-0000AB020000}"/>
    <cellStyle name="Normal 5 3 2 2" xfId="579" xr:uid="{00000000-0005-0000-0000-0000AC020000}"/>
    <cellStyle name="Normal 5 3 2 3" xfId="831" xr:uid="{00000000-0005-0000-0000-0000AD020000}"/>
    <cellStyle name="Normal 5 4" xfId="580" xr:uid="{00000000-0005-0000-0000-0000AE020000}"/>
    <cellStyle name="Normal 5 5" xfId="581" xr:uid="{00000000-0005-0000-0000-0000AF020000}"/>
    <cellStyle name="Normal 5 5 2" xfId="582" xr:uid="{00000000-0005-0000-0000-0000B0020000}"/>
    <cellStyle name="Normal 5 5 3" xfId="824" xr:uid="{00000000-0005-0000-0000-0000B1020000}"/>
    <cellStyle name="Normal 5 6" xfId="583" xr:uid="{00000000-0005-0000-0000-0000B2020000}"/>
    <cellStyle name="Normal 5 6 2" xfId="584" xr:uid="{00000000-0005-0000-0000-0000B3020000}"/>
    <cellStyle name="Normal 5 6 3" xfId="823" xr:uid="{00000000-0005-0000-0000-0000B4020000}"/>
    <cellStyle name="Normal 5 7" xfId="585" xr:uid="{00000000-0005-0000-0000-0000B5020000}"/>
    <cellStyle name="Normal 5 7 2" xfId="586" xr:uid="{00000000-0005-0000-0000-0000B6020000}"/>
    <cellStyle name="Normal 5 7 3" xfId="822" xr:uid="{00000000-0005-0000-0000-0000B7020000}"/>
    <cellStyle name="Normal 5 8" xfId="587" xr:uid="{00000000-0005-0000-0000-0000B8020000}"/>
    <cellStyle name="Normal 5 8 2" xfId="588" xr:uid="{00000000-0005-0000-0000-0000B9020000}"/>
    <cellStyle name="Normal 5 8 3" xfId="825" xr:uid="{00000000-0005-0000-0000-0000BA020000}"/>
    <cellStyle name="Normal 5 9" xfId="589" xr:uid="{00000000-0005-0000-0000-0000BB020000}"/>
    <cellStyle name="Normal 5 9 2" xfId="590" xr:uid="{00000000-0005-0000-0000-0000BC020000}"/>
    <cellStyle name="Normal 5 9 3" xfId="827" xr:uid="{00000000-0005-0000-0000-0000BD020000}"/>
    <cellStyle name="Normal 6" xfId="591" xr:uid="{00000000-0005-0000-0000-0000BE020000}"/>
    <cellStyle name="Normal 7" xfId="592" xr:uid="{00000000-0005-0000-0000-0000BF020000}"/>
    <cellStyle name="Normal 8" xfId="593" xr:uid="{00000000-0005-0000-0000-0000C0020000}"/>
    <cellStyle name="Normal 9" xfId="594" xr:uid="{00000000-0005-0000-0000-0000C1020000}"/>
    <cellStyle name="Normale_FluxTresoMaquette2002" xfId="595" xr:uid="{00000000-0005-0000-0000-0000C2020000}"/>
    <cellStyle name="Note 2" xfId="596" xr:uid="{00000000-0005-0000-0000-0000C3020000}"/>
    <cellStyle name="Note 2 2" xfId="597" xr:uid="{00000000-0005-0000-0000-0000C4020000}"/>
    <cellStyle name="Note 2 2 2" xfId="598" xr:uid="{00000000-0005-0000-0000-0000C5020000}"/>
    <cellStyle name="Note 2 2 3" xfId="599" xr:uid="{00000000-0005-0000-0000-0000C6020000}"/>
    <cellStyle name="Note 2 2 4" xfId="600" xr:uid="{00000000-0005-0000-0000-0000C7020000}"/>
    <cellStyle name="Note 2 3" xfId="601" xr:uid="{00000000-0005-0000-0000-0000C8020000}"/>
    <cellStyle name="Note 2 3 2" xfId="602" xr:uid="{00000000-0005-0000-0000-0000C9020000}"/>
    <cellStyle name="Note 2 4" xfId="603" xr:uid="{00000000-0005-0000-0000-0000CA020000}"/>
    <cellStyle name="Note 2 5" xfId="604" xr:uid="{00000000-0005-0000-0000-0000CB020000}"/>
    <cellStyle name="Note 3" xfId="605" xr:uid="{00000000-0005-0000-0000-0000CC020000}"/>
    <cellStyle name="Note 3 2" xfId="606" xr:uid="{00000000-0005-0000-0000-0000CD020000}"/>
    <cellStyle name="Note 3 2 2" xfId="607" xr:uid="{00000000-0005-0000-0000-0000CE020000}"/>
    <cellStyle name="Note 3 2 3" xfId="608" xr:uid="{00000000-0005-0000-0000-0000CF020000}"/>
    <cellStyle name="Note 3 2 4" xfId="609" xr:uid="{00000000-0005-0000-0000-0000D0020000}"/>
    <cellStyle name="Note 3 3" xfId="610" xr:uid="{00000000-0005-0000-0000-0000D1020000}"/>
    <cellStyle name="Note 3 3 2" xfId="611" xr:uid="{00000000-0005-0000-0000-0000D2020000}"/>
    <cellStyle name="Note 3 4" xfId="612" xr:uid="{00000000-0005-0000-0000-0000D3020000}"/>
    <cellStyle name="Note 3 5" xfId="613" xr:uid="{00000000-0005-0000-0000-0000D4020000}"/>
    <cellStyle name="Note 4" xfId="614" xr:uid="{00000000-0005-0000-0000-0000D5020000}"/>
    <cellStyle name="Note 4 2" xfId="615" xr:uid="{00000000-0005-0000-0000-0000D6020000}"/>
    <cellStyle name="Note 4 2 2" xfId="616" xr:uid="{00000000-0005-0000-0000-0000D7020000}"/>
    <cellStyle name="Note 4 3" xfId="617" xr:uid="{00000000-0005-0000-0000-0000D8020000}"/>
    <cellStyle name="Note 4 4" xfId="618" xr:uid="{00000000-0005-0000-0000-0000D9020000}"/>
    <cellStyle name="Note 5" xfId="619" xr:uid="{00000000-0005-0000-0000-0000DA020000}"/>
    <cellStyle name="Note 5 2" xfId="620" xr:uid="{00000000-0005-0000-0000-0000DB020000}"/>
    <cellStyle name="Note 5 2 2" xfId="621" xr:uid="{00000000-0005-0000-0000-0000DC020000}"/>
    <cellStyle name="Note 5 3" xfId="622" xr:uid="{00000000-0005-0000-0000-0000DD020000}"/>
    <cellStyle name="Note 5 4" xfId="623" xr:uid="{00000000-0005-0000-0000-0000DE020000}"/>
    <cellStyle name="Note 6" xfId="624" xr:uid="{00000000-0005-0000-0000-0000DF020000}"/>
    <cellStyle name="Note 6 2" xfId="625" xr:uid="{00000000-0005-0000-0000-0000E0020000}"/>
    <cellStyle name="Note 6 3" xfId="626" xr:uid="{00000000-0005-0000-0000-0000E1020000}"/>
    <cellStyle name="Note 6 4" xfId="627" xr:uid="{00000000-0005-0000-0000-0000E2020000}"/>
    <cellStyle name="Output" xfId="13" builtinId="21" customBuiltin="1"/>
    <cellStyle name="Output 2" xfId="628" xr:uid="{00000000-0005-0000-0000-0000E3020000}"/>
    <cellStyle name="Output 2 2" xfId="629" xr:uid="{00000000-0005-0000-0000-0000E4020000}"/>
    <cellStyle name="Output 2 3" xfId="630" xr:uid="{00000000-0005-0000-0000-0000E5020000}"/>
    <cellStyle name="Output 3" xfId="631" xr:uid="{00000000-0005-0000-0000-0000E6020000}"/>
    <cellStyle name="Output 3 2" xfId="632" xr:uid="{00000000-0005-0000-0000-0000E7020000}"/>
    <cellStyle name="Output 3 3" xfId="633" xr:uid="{00000000-0005-0000-0000-0000E8020000}"/>
    <cellStyle name="Page header" xfId="634" xr:uid="{00000000-0005-0000-0000-0000E9020000}"/>
    <cellStyle name="Page header 2" xfId="635" xr:uid="{00000000-0005-0000-0000-0000EA020000}"/>
    <cellStyle name="Page header 2 2" xfId="636" xr:uid="{00000000-0005-0000-0000-0000EB020000}"/>
    <cellStyle name="Page header 2 3" xfId="637" xr:uid="{00000000-0005-0000-0000-0000EC020000}"/>
    <cellStyle name="Page header 2 4" xfId="638" xr:uid="{00000000-0005-0000-0000-0000ED020000}"/>
    <cellStyle name="Page header 2 5" xfId="807" xr:uid="{00000000-0005-0000-0000-0000EE020000}"/>
    <cellStyle name="Page header 3" xfId="639" xr:uid="{00000000-0005-0000-0000-0000EF020000}"/>
    <cellStyle name="Page header 3 2" xfId="640" xr:uid="{00000000-0005-0000-0000-0000F0020000}"/>
    <cellStyle name="Page header 3 3" xfId="641" xr:uid="{00000000-0005-0000-0000-0000F1020000}"/>
    <cellStyle name="Page header 3 4" xfId="642" xr:uid="{00000000-0005-0000-0000-0000F2020000}"/>
    <cellStyle name="Page header 4" xfId="643" xr:uid="{00000000-0005-0000-0000-0000F3020000}"/>
    <cellStyle name="Page header 4 2" xfId="644" xr:uid="{00000000-0005-0000-0000-0000F4020000}"/>
    <cellStyle name="Page header 4 3" xfId="816" xr:uid="{00000000-0005-0000-0000-0000F5020000}"/>
    <cellStyle name="Pageheader" xfId="645" xr:uid="{00000000-0005-0000-0000-0000F6020000}"/>
    <cellStyle name="Pageheader 2" xfId="646" xr:uid="{00000000-0005-0000-0000-0000F7020000}"/>
    <cellStyle name="Pageheader 2 2" xfId="647" xr:uid="{00000000-0005-0000-0000-0000F8020000}"/>
    <cellStyle name="Pageheader 2 3" xfId="648" xr:uid="{00000000-0005-0000-0000-0000F9020000}"/>
    <cellStyle name="Pageheader 2 4" xfId="649" xr:uid="{00000000-0005-0000-0000-0000FA020000}"/>
    <cellStyle name="Pageheader 2 5" xfId="809" xr:uid="{00000000-0005-0000-0000-0000FB020000}"/>
    <cellStyle name="Pageheader 3" xfId="650" xr:uid="{00000000-0005-0000-0000-0000FC020000}"/>
    <cellStyle name="Pageheader 3 2" xfId="651" xr:uid="{00000000-0005-0000-0000-0000FD020000}"/>
    <cellStyle name="Pageheader 3 3" xfId="652" xr:uid="{00000000-0005-0000-0000-0000FE020000}"/>
    <cellStyle name="Pageheader 3 4" xfId="653" xr:uid="{00000000-0005-0000-0000-0000FF020000}"/>
    <cellStyle name="Pageheader 4" xfId="654" xr:uid="{00000000-0005-0000-0000-000000030000}"/>
    <cellStyle name="Pageheader 4 2" xfId="655" xr:uid="{00000000-0005-0000-0000-000001030000}"/>
    <cellStyle name="Pageheader 4 3" xfId="815" xr:uid="{00000000-0005-0000-0000-000002030000}"/>
    <cellStyle name="Percent" xfId="3" builtinId="5"/>
    <cellStyle name="Percent 10" xfId="656" xr:uid="{00000000-0005-0000-0000-000003030000}"/>
    <cellStyle name="Percent 12" xfId="657" xr:uid="{00000000-0005-0000-0000-000004030000}"/>
    <cellStyle name="Percent 13" xfId="658" xr:uid="{00000000-0005-0000-0000-000005030000}"/>
    <cellStyle name="Percent 2 10" xfId="659" xr:uid="{00000000-0005-0000-0000-000006030000}"/>
    <cellStyle name="Percent 2 11" xfId="660" xr:uid="{00000000-0005-0000-0000-000007030000}"/>
    <cellStyle name="Percent 2 12" xfId="661" xr:uid="{00000000-0005-0000-0000-000008030000}"/>
    <cellStyle name="Percent 2 13" xfId="662" xr:uid="{00000000-0005-0000-0000-000009030000}"/>
    <cellStyle name="Percent 2 2" xfId="663" xr:uid="{00000000-0005-0000-0000-00000A030000}"/>
    <cellStyle name="Percent 2 3" xfId="664" xr:uid="{00000000-0005-0000-0000-00000B030000}"/>
    <cellStyle name="Percent 2 4" xfId="665" xr:uid="{00000000-0005-0000-0000-00000C030000}"/>
    <cellStyle name="Percent 2 5" xfId="666" xr:uid="{00000000-0005-0000-0000-00000D030000}"/>
    <cellStyle name="Percent 2 6" xfId="667" xr:uid="{00000000-0005-0000-0000-00000E030000}"/>
    <cellStyle name="Percent 2 7" xfId="668" xr:uid="{00000000-0005-0000-0000-00000F030000}"/>
    <cellStyle name="Percent 2 8" xfId="669" xr:uid="{00000000-0005-0000-0000-000010030000}"/>
    <cellStyle name="Percent 2 9" xfId="670" xr:uid="{00000000-0005-0000-0000-000011030000}"/>
    <cellStyle name="Percent 3" xfId="671" xr:uid="{00000000-0005-0000-0000-000012030000}"/>
    <cellStyle name="Percent 4" xfId="672" xr:uid="{00000000-0005-0000-0000-000013030000}"/>
    <cellStyle name="Porcentual 2" xfId="673" xr:uid="{00000000-0005-0000-0000-000015030000}"/>
    <cellStyle name="Procent 2" xfId="674" xr:uid="{00000000-0005-0000-0000-000016030000}"/>
    <cellStyle name="Standaard 2" xfId="675" xr:uid="{00000000-0005-0000-0000-000018030000}"/>
    <cellStyle name="Standaard 2 10" xfId="676" xr:uid="{00000000-0005-0000-0000-000019030000}"/>
    <cellStyle name="Standaard 2 10 2" xfId="677" xr:uid="{00000000-0005-0000-0000-00001A030000}"/>
    <cellStyle name="Standaard 2 10 3" xfId="678" xr:uid="{00000000-0005-0000-0000-00001B030000}"/>
    <cellStyle name="Standaard 2 11" xfId="679" xr:uid="{00000000-0005-0000-0000-00001C030000}"/>
    <cellStyle name="Standaard 2 12" xfId="680" xr:uid="{00000000-0005-0000-0000-00001D030000}"/>
    <cellStyle name="Standaard 2 13" xfId="681" xr:uid="{00000000-0005-0000-0000-00001E030000}"/>
    <cellStyle name="Standaard 2 2" xfId="682" xr:uid="{00000000-0005-0000-0000-00001F030000}"/>
    <cellStyle name="Standaard 2 2 2" xfId="683" xr:uid="{00000000-0005-0000-0000-000020030000}"/>
    <cellStyle name="Standaard 2 2 2 2" xfId="684" xr:uid="{00000000-0005-0000-0000-000021030000}"/>
    <cellStyle name="Standaard 2 2 2 3" xfId="685" xr:uid="{00000000-0005-0000-0000-000022030000}"/>
    <cellStyle name="Standaard 2 2 3" xfId="686" xr:uid="{00000000-0005-0000-0000-000023030000}"/>
    <cellStyle name="Standaard 2 2 3 2" xfId="687" xr:uid="{00000000-0005-0000-0000-000024030000}"/>
    <cellStyle name="Standaard 2 2 3 3" xfId="688" xr:uid="{00000000-0005-0000-0000-000025030000}"/>
    <cellStyle name="Standaard 2 2 4" xfId="689" xr:uid="{00000000-0005-0000-0000-000026030000}"/>
    <cellStyle name="Standaard 2 2 4 2" xfId="690" xr:uid="{00000000-0005-0000-0000-000027030000}"/>
    <cellStyle name="Standaard 2 2 4 3" xfId="691" xr:uid="{00000000-0005-0000-0000-000028030000}"/>
    <cellStyle name="Standaard 2 3" xfId="692" xr:uid="{00000000-0005-0000-0000-000029030000}"/>
    <cellStyle name="Standaard 2 3 2" xfId="693" xr:uid="{00000000-0005-0000-0000-00002A030000}"/>
    <cellStyle name="Standaard 2 3 3" xfId="694" xr:uid="{00000000-0005-0000-0000-00002B030000}"/>
    <cellStyle name="Standaard 2 4" xfId="695" xr:uid="{00000000-0005-0000-0000-00002C030000}"/>
    <cellStyle name="Standaard 2 4 2" xfId="696" xr:uid="{00000000-0005-0000-0000-00002D030000}"/>
    <cellStyle name="Standaard 2 4 3" xfId="697" xr:uid="{00000000-0005-0000-0000-00002E030000}"/>
    <cellStyle name="Standaard 2 5" xfId="698" xr:uid="{00000000-0005-0000-0000-00002F030000}"/>
    <cellStyle name="Standaard 2 5 2" xfId="699" xr:uid="{00000000-0005-0000-0000-000030030000}"/>
    <cellStyle name="Standaard 2 5 3" xfId="700" xr:uid="{00000000-0005-0000-0000-000031030000}"/>
    <cellStyle name="Standaard 2 6" xfId="701" xr:uid="{00000000-0005-0000-0000-000032030000}"/>
    <cellStyle name="Standaard 2 6 2" xfId="702" xr:uid="{00000000-0005-0000-0000-000033030000}"/>
    <cellStyle name="Standaard 2 6 3" xfId="703" xr:uid="{00000000-0005-0000-0000-000034030000}"/>
    <cellStyle name="Standaard 2 7" xfId="704" xr:uid="{00000000-0005-0000-0000-000035030000}"/>
    <cellStyle name="Standaard 2 7 2" xfId="705" xr:uid="{00000000-0005-0000-0000-000036030000}"/>
    <cellStyle name="Standaard 2 7 3" xfId="706" xr:uid="{00000000-0005-0000-0000-000037030000}"/>
    <cellStyle name="Standaard 2 8" xfId="707" xr:uid="{00000000-0005-0000-0000-000038030000}"/>
    <cellStyle name="Standaard 2 9" xfId="708" xr:uid="{00000000-0005-0000-0000-000039030000}"/>
    <cellStyle name="Standaard 2 9 2" xfId="709" xr:uid="{00000000-0005-0000-0000-00003A030000}"/>
    <cellStyle name="Standaard 2 9 3" xfId="710" xr:uid="{00000000-0005-0000-0000-00003B030000}"/>
    <cellStyle name="Standaard 2_Dobotex conso" xfId="711" xr:uid="{00000000-0005-0000-0000-00003C030000}"/>
    <cellStyle name="Standaard 3" xfId="712" xr:uid="{00000000-0005-0000-0000-00003D030000}"/>
    <cellStyle name="Standaard 4" xfId="713" xr:uid="{00000000-0005-0000-0000-00003E030000}"/>
    <cellStyle name="Standaard 4 2" xfId="714" xr:uid="{00000000-0005-0000-0000-00003F030000}"/>
    <cellStyle name="Standaard 5" xfId="715" xr:uid="{00000000-0005-0000-0000-000040030000}"/>
    <cellStyle name="Standaard 5 2" xfId="716" xr:uid="{00000000-0005-0000-0000-000041030000}"/>
    <cellStyle name="Standaard 6" xfId="717" xr:uid="{00000000-0005-0000-0000-000042030000}"/>
    <cellStyle name="Standaard 6 2" xfId="799" xr:uid="{00000000-0005-0000-0000-000043030000}"/>
    <cellStyle name="Standaard 7" xfId="718" xr:uid="{00000000-0005-0000-0000-000044030000}"/>
    <cellStyle name="Standaard 7 2" xfId="802" xr:uid="{00000000-0005-0000-0000-000045030000}"/>
    <cellStyle name="Standaard 8" xfId="719" xr:uid="{00000000-0005-0000-0000-000046030000}"/>
    <cellStyle name="Standaard 8 2" xfId="800" xr:uid="{00000000-0005-0000-0000-000047030000}"/>
    <cellStyle name="Standaard 9" xfId="720" xr:uid="{00000000-0005-0000-0000-000048030000}"/>
    <cellStyle name="Standaard 9 2" xfId="803" xr:uid="{00000000-0005-0000-0000-000049030000}"/>
    <cellStyle name="Standard_~4265822" xfId="721" xr:uid="{00000000-0005-0000-0000-00004A030000}"/>
    <cellStyle name="Table header" xfId="722" xr:uid="{00000000-0005-0000-0000-00004B030000}"/>
    <cellStyle name="Table header 2" xfId="723" xr:uid="{00000000-0005-0000-0000-00004C030000}"/>
    <cellStyle name="Table header 2 2" xfId="724" xr:uid="{00000000-0005-0000-0000-00004D030000}"/>
    <cellStyle name="Table header 2 3" xfId="725" xr:uid="{00000000-0005-0000-0000-00004E030000}"/>
    <cellStyle name="Table header 2 4" xfId="726" xr:uid="{00000000-0005-0000-0000-00004F030000}"/>
    <cellStyle name="Table header 2 5" xfId="806" xr:uid="{00000000-0005-0000-0000-000050030000}"/>
    <cellStyle name="Table header 3" xfId="727" xr:uid="{00000000-0005-0000-0000-000051030000}"/>
    <cellStyle name="Table header 3 2" xfId="728" xr:uid="{00000000-0005-0000-0000-000052030000}"/>
    <cellStyle name="Table header 3 3" xfId="729" xr:uid="{00000000-0005-0000-0000-000053030000}"/>
    <cellStyle name="Table header 3 4" xfId="730" xr:uid="{00000000-0005-0000-0000-000054030000}"/>
    <cellStyle name="Table header 4" xfId="731" xr:uid="{00000000-0005-0000-0000-000055030000}"/>
    <cellStyle name="Table header 4 2" xfId="732" xr:uid="{00000000-0005-0000-0000-000056030000}"/>
    <cellStyle name="Table header 4 3" xfId="814" xr:uid="{00000000-0005-0000-0000-000057030000}"/>
    <cellStyle name="Tableheader" xfId="733" xr:uid="{00000000-0005-0000-0000-000058030000}"/>
    <cellStyle name="Tableheader 2" xfId="734" xr:uid="{00000000-0005-0000-0000-000059030000}"/>
    <cellStyle name="Tableheader 2 2" xfId="735" xr:uid="{00000000-0005-0000-0000-00005A030000}"/>
    <cellStyle name="Tableheader 2 3" xfId="736" xr:uid="{00000000-0005-0000-0000-00005B030000}"/>
    <cellStyle name="Tableheader 2 4" xfId="737" xr:uid="{00000000-0005-0000-0000-00005C030000}"/>
    <cellStyle name="Tableheader 2 5" xfId="805" xr:uid="{00000000-0005-0000-0000-00005D030000}"/>
    <cellStyle name="Tableheader 3" xfId="738" xr:uid="{00000000-0005-0000-0000-00005E030000}"/>
    <cellStyle name="Tableheader 3 2" xfId="739" xr:uid="{00000000-0005-0000-0000-00005F030000}"/>
    <cellStyle name="Tableheader 3 3" xfId="740" xr:uid="{00000000-0005-0000-0000-000060030000}"/>
    <cellStyle name="Tableheader 3 4" xfId="741" xr:uid="{00000000-0005-0000-0000-000061030000}"/>
    <cellStyle name="Tableheader 4" xfId="742" xr:uid="{00000000-0005-0000-0000-000062030000}"/>
    <cellStyle name="Tableheader 4 2" xfId="743" xr:uid="{00000000-0005-0000-0000-000063030000}"/>
    <cellStyle name="Tableheader 4 3" xfId="813" xr:uid="{00000000-0005-0000-0000-000064030000}"/>
    <cellStyle name="Title" xfId="4" builtinId="15" customBuiltin="1"/>
    <cellStyle name="Title 2" xfId="744" xr:uid="{00000000-0005-0000-0000-000065030000}"/>
    <cellStyle name="Title 2 2" xfId="745" xr:uid="{00000000-0005-0000-0000-000066030000}"/>
    <cellStyle name="Title 2 3" xfId="746" xr:uid="{00000000-0005-0000-0000-000067030000}"/>
    <cellStyle name="Title 2 4" xfId="747" xr:uid="{00000000-0005-0000-0000-000068030000}"/>
    <cellStyle name="Title 3" xfId="748" xr:uid="{00000000-0005-0000-0000-000069030000}"/>
    <cellStyle name="Title 3 2" xfId="749" xr:uid="{00000000-0005-0000-0000-00006A030000}"/>
    <cellStyle name="Title 3 3" xfId="750" xr:uid="{00000000-0005-0000-0000-00006B030000}"/>
    <cellStyle name="Title 3 4" xfId="751" xr:uid="{00000000-0005-0000-0000-00006C030000}"/>
    <cellStyle name="Total" xfId="19" builtinId="25" customBuiltin="1"/>
    <cellStyle name="Total 2" xfId="752" xr:uid="{00000000-0005-0000-0000-00006F030000}"/>
    <cellStyle name="Total 2 2" xfId="753" xr:uid="{00000000-0005-0000-0000-000070030000}"/>
    <cellStyle name="Total 2 3" xfId="754" xr:uid="{00000000-0005-0000-0000-000071030000}"/>
    <cellStyle name="Total 3" xfId="755" xr:uid="{00000000-0005-0000-0000-000072030000}"/>
    <cellStyle name="Total 3 2" xfId="756" xr:uid="{00000000-0005-0000-0000-000073030000}"/>
    <cellStyle name="Total 3 3" xfId="757" xr:uid="{00000000-0005-0000-0000-000074030000}"/>
    <cellStyle name="Valuta (0)_FluxTresoMaquette2003new" xfId="758" xr:uid="{00000000-0005-0000-0000-000075030000}"/>
    <cellStyle name="Valuta 10" xfId="759" xr:uid="{00000000-0005-0000-0000-000076030000}"/>
    <cellStyle name="Valuta 11" xfId="760" xr:uid="{00000000-0005-0000-0000-000077030000}"/>
    <cellStyle name="Valuta 12" xfId="761" xr:uid="{00000000-0005-0000-0000-000078030000}"/>
    <cellStyle name="Valuta 13" xfId="762" xr:uid="{00000000-0005-0000-0000-000079030000}"/>
    <cellStyle name="Valuta 14" xfId="763" xr:uid="{00000000-0005-0000-0000-00007A030000}"/>
    <cellStyle name="Valuta 15" xfId="764" xr:uid="{00000000-0005-0000-0000-00007B030000}"/>
    <cellStyle name="Valuta 16" xfId="765" xr:uid="{00000000-0005-0000-0000-00007C030000}"/>
    <cellStyle name="Valuta 17" xfId="766" xr:uid="{00000000-0005-0000-0000-00007D030000}"/>
    <cellStyle name="Valuta 18" xfId="767" xr:uid="{00000000-0005-0000-0000-00007E030000}"/>
    <cellStyle name="Valuta 19" xfId="768" xr:uid="{00000000-0005-0000-0000-00007F030000}"/>
    <cellStyle name="Valuta 2" xfId="769" xr:uid="{00000000-0005-0000-0000-000080030000}"/>
    <cellStyle name="Valuta 20" xfId="770" xr:uid="{00000000-0005-0000-0000-000081030000}"/>
    <cellStyle name="Valuta 21" xfId="771" xr:uid="{00000000-0005-0000-0000-000082030000}"/>
    <cellStyle name="Valuta 22" xfId="772" xr:uid="{00000000-0005-0000-0000-000083030000}"/>
    <cellStyle name="Valuta 23" xfId="773" xr:uid="{00000000-0005-0000-0000-000084030000}"/>
    <cellStyle name="Valuta 24" xfId="774" xr:uid="{00000000-0005-0000-0000-000085030000}"/>
    <cellStyle name="Valuta 25" xfId="775" xr:uid="{00000000-0005-0000-0000-000086030000}"/>
    <cellStyle name="Valuta 26" xfId="776" xr:uid="{00000000-0005-0000-0000-000087030000}"/>
    <cellStyle name="Valuta 27" xfId="777" xr:uid="{00000000-0005-0000-0000-000088030000}"/>
    <cellStyle name="Valuta 28" xfId="778" xr:uid="{00000000-0005-0000-0000-000089030000}"/>
    <cellStyle name="Valuta 29" xfId="779" xr:uid="{00000000-0005-0000-0000-00008A030000}"/>
    <cellStyle name="Valuta 3" xfId="780" xr:uid="{00000000-0005-0000-0000-00008B030000}"/>
    <cellStyle name="Valuta 30" xfId="781" xr:uid="{00000000-0005-0000-0000-00008C030000}"/>
    <cellStyle name="Valuta 31" xfId="782" xr:uid="{00000000-0005-0000-0000-00008D030000}"/>
    <cellStyle name="Valuta 32" xfId="783" xr:uid="{00000000-0005-0000-0000-00008E030000}"/>
    <cellStyle name="Valuta 33" xfId="804" xr:uid="{00000000-0005-0000-0000-00008F030000}"/>
    <cellStyle name="Valuta 4" xfId="784" xr:uid="{00000000-0005-0000-0000-000090030000}"/>
    <cellStyle name="Valuta 5" xfId="785" xr:uid="{00000000-0005-0000-0000-000091030000}"/>
    <cellStyle name="Valuta 6" xfId="786" xr:uid="{00000000-0005-0000-0000-000092030000}"/>
    <cellStyle name="Valuta 7" xfId="787" xr:uid="{00000000-0005-0000-0000-000093030000}"/>
    <cellStyle name="Valuta 8" xfId="788" xr:uid="{00000000-0005-0000-0000-000094030000}"/>
    <cellStyle name="Valuta 9" xfId="789" xr:uid="{00000000-0005-0000-0000-000095030000}"/>
    <cellStyle name="Warning Text" xfId="17" builtinId="11" customBuiltin="1"/>
    <cellStyle name="Warning Text 2" xfId="790" xr:uid="{00000000-0005-0000-0000-000096030000}"/>
    <cellStyle name="Warning Text 2 2" xfId="791" xr:uid="{00000000-0005-0000-0000-000097030000}"/>
    <cellStyle name="Warning Text 2 3" xfId="792" xr:uid="{00000000-0005-0000-0000-000098030000}"/>
    <cellStyle name="Warning Text 3" xfId="793" xr:uid="{00000000-0005-0000-0000-000099030000}"/>
    <cellStyle name="Warning Text 3 2" xfId="794" xr:uid="{00000000-0005-0000-0000-00009A030000}"/>
    <cellStyle name="Warning Text 3 3" xfId="795" xr:uid="{00000000-0005-0000-0000-00009B030000}"/>
    <cellStyle name="一般 2" xfId="796" xr:uid="{00000000-0005-0000-0000-00009C030000}"/>
    <cellStyle name="常规_2011.7～2012.1销售汇总" xfId="797" xr:uid="{00000000-0005-0000-0000-00009D030000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96"/>
  <sheetViews>
    <sheetView tabSelected="1" zoomScaleNormal="100" workbookViewId="0">
      <pane xSplit="1" topLeftCell="B1" activePane="topRight" state="frozen"/>
      <selection activeCell="F1" sqref="F1"/>
      <selection pane="topRight" activeCell="D118" sqref="D118"/>
    </sheetView>
  </sheetViews>
  <sheetFormatPr baseColWidth="10" defaultColWidth="9.1640625" defaultRowHeight="15"/>
  <cols>
    <col min="1" max="1" width="30.83203125" customWidth="1"/>
    <col min="2" max="2" width="11.5" customWidth="1"/>
    <col min="3" max="3" width="12.6640625" customWidth="1"/>
    <col min="4" max="4" width="9.5" customWidth="1"/>
    <col min="5" max="28" width="14.6640625" style="10" customWidth="1"/>
    <col min="29" max="29" width="12.5" bestFit="1" customWidth="1"/>
    <col min="30" max="30" width="15.5" style="10" bestFit="1" customWidth="1"/>
    <col min="32" max="32" width="11.5" bestFit="1" customWidth="1"/>
    <col min="34" max="34" width="9.6640625" bestFit="1" customWidth="1"/>
    <col min="36" max="36" width="11.5" bestFit="1" customWidth="1"/>
    <col min="38" max="38" width="13" bestFit="1" customWidth="1"/>
  </cols>
  <sheetData>
    <row r="1" spans="1:38">
      <c r="E1" s="24"/>
      <c r="G1" s="24"/>
      <c r="I1" s="24"/>
      <c r="K1" s="24"/>
      <c r="M1" s="24"/>
      <c r="O1" s="24"/>
      <c r="Q1" s="24"/>
      <c r="S1" s="24"/>
      <c r="Y1" s="24"/>
      <c r="AA1" s="24"/>
      <c r="AF1">
        <v>1447.6657</v>
      </c>
      <c r="AH1" s="82"/>
    </row>
    <row r="2" spans="1:38" s="34" customFormat="1">
      <c r="A2" s="22"/>
      <c r="B2" s="22"/>
      <c r="C2" s="22"/>
      <c r="D2" s="37"/>
      <c r="E2" s="23">
        <f>SUM(E5:E4930)</f>
        <v>14982.584000000001</v>
      </c>
      <c r="F2" s="70">
        <f>SUM(F5:F4929)</f>
        <v>302626520.40000015</v>
      </c>
      <c r="G2" s="23">
        <f>SUM(G5:G4930)</f>
        <v>22213.506000000001</v>
      </c>
      <c r="H2" s="70">
        <f>SUM(H5:H4929)</f>
        <v>479514152.56000096</v>
      </c>
      <c r="I2" s="23">
        <f>SUM(I5:I4930)</f>
        <v>19865.003000000001</v>
      </c>
      <c r="J2" s="70">
        <f>SUM(J5:J4929)</f>
        <v>437783611.80000037</v>
      </c>
      <c r="K2" s="23">
        <f>SUM(K5:K4930)</f>
        <v>30709.588999999996</v>
      </c>
      <c r="L2" s="70">
        <f>SUM(L5:L4929)</f>
        <v>703959098.63000107</v>
      </c>
      <c r="M2" s="23">
        <f>SUM(M5:M4930)</f>
        <v>19682.843000000001</v>
      </c>
      <c r="N2" s="70">
        <f>SUM(N5:N4929)</f>
        <v>465002567.51000059</v>
      </c>
      <c r="O2" s="23">
        <f>SUM(O5:O4930)</f>
        <v>19497.333000000002</v>
      </c>
      <c r="P2" s="70">
        <f>SUM(P5:P4929)</f>
        <v>488427520.95000064</v>
      </c>
      <c r="Q2" s="23">
        <f>SUM(Q5:Q4930)</f>
        <v>15145.169</v>
      </c>
      <c r="R2" s="70">
        <f>SUM(R5:R4929)</f>
        <v>365826235.47999996</v>
      </c>
      <c r="S2" s="23">
        <f>SUM(S5:S4930)</f>
        <v>0</v>
      </c>
      <c r="T2" s="70">
        <f>SUM(T5:T4929)</f>
        <v>0</v>
      </c>
      <c r="U2" s="23">
        <f>SUM(U5:U4930)</f>
        <v>0</v>
      </c>
      <c r="V2" s="70">
        <f>SUM(V5:V4929)</f>
        <v>0</v>
      </c>
      <c r="W2" s="23">
        <f>SUM(W5:W4930)</f>
        <v>0</v>
      </c>
      <c r="X2" s="70">
        <f>SUM(X5:X4929)</f>
        <v>0</v>
      </c>
      <c r="Y2" s="23">
        <f>SUM(Y5:Y4930)</f>
        <v>0</v>
      </c>
      <c r="Z2" s="70">
        <f>SUM(Z5:Z4929)</f>
        <v>0</v>
      </c>
      <c r="AA2" s="70">
        <f>SUM(AA5:AA4929)</f>
        <v>0</v>
      </c>
      <c r="AB2" s="70">
        <f>SUM(AB5:AB4929)</f>
        <v>0</v>
      </c>
      <c r="AC2" s="23">
        <f>SUM(AC5:AC4930)</f>
        <v>142096.027</v>
      </c>
      <c r="AD2" s="70">
        <f>SUM(AD5:AD4929)</f>
        <v>3243139707.3300037</v>
      </c>
      <c r="AF2" s="34">
        <v>1408.9662000000001</v>
      </c>
      <c r="AH2" s="83"/>
      <c r="AJ2" s="85"/>
    </row>
    <row r="3" spans="1:38">
      <c r="A3" s="61"/>
      <c r="B3" s="61"/>
      <c r="C3" s="61"/>
      <c r="D3" s="61"/>
      <c r="E3" s="61" t="s">
        <v>19</v>
      </c>
      <c r="F3" s="71" t="s">
        <v>20</v>
      </c>
      <c r="G3" s="61" t="s">
        <v>19</v>
      </c>
      <c r="H3" s="71" t="s">
        <v>20</v>
      </c>
      <c r="I3" s="61" t="s">
        <v>19</v>
      </c>
      <c r="J3" s="71" t="s">
        <v>20</v>
      </c>
      <c r="K3" s="61" t="s">
        <v>19</v>
      </c>
      <c r="L3" s="71" t="s">
        <v>20</v>
      </c>
      <c r="M3" s="61" t="s">
        <v>19</v>
      </c>
      <c r="N3" s="71" t="s">
        <v>20</v>
      </c>
      <c r="O3" s="61" t="s">
        <v>19</v>
      </c>
      <c r="P3" s="71" t="s">
        <v>20</v>
      </c>
      <c r="Q3" s="61" t="s">
        <v>19</v>
      </c>
      <c r="R3" s="71" t="s">
        <v>20</v>
      </c>
      <c r="S3" s="61" t="s">
        <v>19</v>
      </c>
      <c r="T3" s="71" t="s">
        <v>20</v>
      </c>
      <c r="U3" s="61" t="s">
        <v>19</v>
      </c>
      <c r="V3" s="71" t="s">
        <v>20</v>
      </c>
      <c r="W3" s="61" t="s">
        <v>19</v>
      </c>
      <c r="X3" s="71" t="s">
        <v>20</v>
      </c>
      <c r="Y3" s="61" t="s">
        <v>19</v>
      </c>
      <c r="Z3" s="71" t="s">
        <v>20</v>
      </c>
      <c r="AA3" s="61" t="s">
        <v>19</v>
      </c>
      <c r="AB3" s="71" t="s">
        <v>20</v>
      </c>
      <c r="AC3" s="61"/>
      <c r="AD3" s="71"/>
      <c r="AF3">
        <v>1382.7578000000001</v>
      </c>
    </row>
    <row r="4" spans="1:38" ht="28">
      <c r="A4" s="61" t="s">
        <v>15</v>
      </c>
      <c r="B4" s="61" t="s">
        <v>25</v>
      </c>
      <c r="C4" s="61" t="s">
        <v>26</v>
      </c>
      <c r="D4" s="62" t="s">
        <v>16</v>
      </c>
      <c r="E4" s="86">
        <v>46023</v>
      </c>
      <c r="F4" s="87"/>
      <c r="G4" s="86">
        <v>46054</v>
      </c>
      <c r="H4" s="87"/>
      <c r="I4" s="86">
        <v>46082</v>
      </c>
      <c r="J4" s="87"/>
      <c r="K4" s="86">
        <v>46113</v>
      </c>
      <c r="L4" s="87"/>
      <c r="M4" s="86">
        <v>46143</v>
      </c>
      <c r="N4" s="87"/>
      <c r="O4" s="86">
        <v>46174</v>
      </c>
      <c r="P4" s="87"/>
      <c r="Q4" s="86">
        <v>46204</v>
      </c>
      <c r="R4" s="87"/>
      <c r="S4" s="86">
        <v>46235</v>
      </c>
      <c r="T4" s="87"/>
      <c r="U4" s="86">
        <v>46266</v>
      </c>
      <c r="V4" s="87"/>
      <c r="W4" s="86">
        <v>46296</v>
      </c>
      <c r="X4" s="87"/>
      <c r="Y4" s="86">
        <v>46327</v>
      </c>
      <c r="Z4" s="87"/>
      <c r="AA4" s="86">
        <v>46357</v>
      </c>
      <c r="AB4" s="87"/>
      <c r="AC4" s="59" t="s">
        <v>17</v>
      </c>
      <c r="AD4" s="72" t="s">
        <v>18</v>
      </c>
      <c r="AF4" s="84">
        <f t="shared" ref="AF4:AL4" si="0">(AF1+AF2+AF3)/3</f>
        <v>1413.1299000000001</v>
      </c>
      <c r="AH4" s="84">
        <f t="shared" si="0"/>
        <v>0</v>
      </c>
      <c r="AJ4">
        <f t="shared" si="0"/>
        <v>0</v>
      </c>
      <c r="AL4">
        <f t="shared" si="0"/>
        <v>0</v>
      </c>
    </row>
    <row r="5" spans="1:38">
      <c r="A5" t="s">
        <v>36</v>
      </c>
      <c r="B5" t="s">
        <v>43</v>
      </c>
      <c r="C5" s="75" t="s">
        <v>49</v>
      </c>
      <c r="D5" s="76" t="s">
        <v>44</v>
      </c>
      <c r="E5" s="19">
        <v>-29.332999999999998</v>
      </c>
      <c r="F5" s="74">
        <v>-666772.32000000007</v>
      </c>
      <c r="G5" s="19">
        <v>6029</v>
      </c>
      <c r="H5" s="74">
        <v>125032033.44000046</v>
      </c>
      <c r="I5" s="19">
        <v>4501</v>
      </c>
      <c r="J5" s="74">
        <v>85375574.800000429</v>
      </c>
      <c r="K5" s="19">
        <v>9749.5</v>
      </c>
      <c r="L5" s="74">
        <v>219104370.18000075</v>
      </c>
      <c r="M5" s="19">
        <v>5282</v>
      </c>
      <c r="N5" s="74">
        <v>122357361.12000032</v>
      </c>
      <c r="O5" s="19">
        <v>3035.75</v>
      </c>
      <c r="P5" s="74">
        <v>72362393.120000169</v>
      </c>
      <c r="Q5" s="19">
        <v>3135</v>
      </c>
      <c r="R5" s="74">
        <v>74479596.480000198</v>
      </c>
      <c r="S5" s="19"/>
      <c r="T5" s="74"/>
      <c r="U5" s="19"/>
      <c r="V5" s="74"/>
      <c r="W5" s="19"/>
      <c r="X5" s="74"/>
      <c r="Y5" s="19"/>
      <c r="Z5" s="74"/>
      <c r="AA5" s="19"/>
      <c r="AB5" s="74"/>
      <c r="AC5" s="49">
        <f t="shared" ref="AC5:AC6" si="1">AA5+Y5+W5+U5+S5+Q5+O5+M5+K5+I5+G5+E5</f>
        <v>31702.917000000001</v>
      </c>
      <c r="AD5" s="73">
        <f t="shared" ref="AD5:AD6" si="2">AB5+Z5+X5+V5+T5+R5+P5+N5+L5+J5+H5+F5</f>
        <v>698044556.8200022</v>
      </c>
      <c r="AE5" s="19">
        <f t="shared" ref="AE5:AE67" si="3">E5+G5+I5</f>
        <v>10500.667000000001</v>
      </c>
      <c r="AF5" s="78">
        <f t="shared" ref="AF5:AF67" si="4">(F5+H5+J5)/$AF$4</f>
        <v>148422.89864505795</v>
      </c>
      <c r="AG5" s="19">
        <f t="shared" ref="AG5:AG67" si="5">K5+M5+O5</f>
        <v>18067.25</v>
      </c>
      <c r="AH5" t="e">
        <f t="shared" ref="AH5:AH67" si="6">(L5+N5+P5)/$AH$4</f>
        <v>#DIV/0!</v>
      </c>
      <c r="AI5" s="19">
        <f t="shared" ref="AI5:AI67" si="7">U5+S5+Q5</f>
        <v>3135</v>
      </c>
      <c r="AJ5" s="78" t="e">
        <f t="shared" ref="AJ5:AJ67" si="8">(V5+T5+R5)/$AJ$4</f>
        <v>#DIV/0!</v>
      </c>
      <c r="AK5" s="19">
        <f t="shared" ref="AK5:AK67" si="9">W5+Y5+AA5</f>
        <v>0</v>
      </c>
      <c r="AL5" s="78" t="e">
        <f t="shared" ref="AL5:AL67" si="10">(X5+Z5+AB5)/$AL$4</f>
        <v>#DIV/0!</v>
      </c>
    </row>
    <row r="6" spans="1:38">
      <c r="A6" t="s">
        <v>90</v>
      </c>
      <c r="B6" t="s">
        <v>43</v>
      </c>
      <c r="C6" s="75" t="s">
        <v>49</v>
      </c>
      <c r="D6" s="76" t="s">
        <v>44</v>
      </c>
      <c r="E6" s="19">
        <v>36.75</v>
      </c>
      <c r="F6" s="74">
        <v>1030690.7999999997</v>
      </c>
      <c r="G6" s="19"/>
      <c r="H6" s="74"/>
      <c r="I6" s="19">
        <v>0</v>
      </c>
      <c r="J6" s="74">
        <v>0</v>
      </c>
      <c r="K6" s="19"/>
      <c r="L6" s="74"/>
      <c r="M6" s="19"/>
      <c r="N6" s="74"/>
      <c r="O6" s="19"/>
      <c r="P6" s="74"/>
      <c r="Q6" s="19"/>
      <c r="R6" s="74"/>
      <c r="S6" s="19"/>
      <c r="T6" s="74"/>
      <c r="U6" s="19"/>
      <c r="V6" s="74"/>
      <c r="W6" s="19"/>
      <c r="X6" s="74"/>
      <c r="Y6" s="19"/>
      <c r="Z6" s="74"/>
      <c r="AA6" s="19"/>
      <c r="AB6" s="74"/>
      <c r="AC6" s="49">
        <f t="shared" si="1"/>
        <v>36.75</v>
      </c>
      <c r="AD6" s="73">
        <f t="shared" si="2"/>
        <v>1030690.7999999997</v>
      </c>
      <c r="AE6" s="19">
        <f t="shared" si="3"/>
        <v>36.75</v>
      </c>
      <c r="AF6" s="78">
        <f t="shared" si="4"/>
        <v>729.36734266255326</v>
      </c>
      <c r="AG6" s="19">
        <f t="shared" si="5"/>
        <v>0</v>
      </c>
      <c r="AH6" t="e">
        <f t="shared" si="6"/>
        <v>#DIV/0!</v>
      </c>
      <c r="AI6" s="19">
        <f t="shared" si="7"/>
        <v>0</v>
      </c>
      <c r="AJ6" s="78" t="e">
        <f t="shared" si="8"/>
        <v>#DIV/0!</v>
      </c>
      <c r="AK6" s="19">
        <f t="shared" si="9"/>
        <v>0</v>
      </c>
      <c r="AL6" s="78" t="e">
        <f t="shared" si="10"/>
        <v>#DIV/0!</v>
      </c>
    </row>
    <row r="7" spans="1:38">
      <c r="A7" t="s">
        <v>145</v>
      </c>
      <c r="B7" t="s">
        <v>43</v>
      </c>
      <c r="C7" s="75" t="s">
        <v>49</v>
      </c>
      <c r="D7" s="76" t="s">
        <v>44</v>
      </c>
      <c r="E7" s="19"/>
      <c r="F7" s="74"/>
      <c r="G7" s="19"/>
      <c r="H7" s="74"/>
      <c r="I7" s="19"/>
      <c r="J7" s="74"/>
      <c r="K7" s="19">
        <v>260</v>
      </c>
      <c r="L7" s="74">
        <v>5821203.7800000021</v>
      </c>
      <c r="M7" s="19"/>
      <c r="N7" s="74"/>
      <c r="O7" s="19">
        <v>0</v>
      </c>
      <c r="P7" s="74">
        <v>0</v>
      </c>
      <c r="Q7" s="19"/>
      <c r="R7" s="74"/>
      <c r="S7" s="19"/>
      <c r="T7" s="74"/>
      <c r="U7" s="19"/>
      <c r="V7" s="74"/>
      <c r="W7" s="19"/>
      <c r="X7" s="74"/>
      <c r="Y7" s="19"/>
      <c r="Z7" s="74"/>
      <c r="AA7" s="19"/>
      <c r="AB7" s="74"/>
      <c r="AC7" s="49">
        <f t="shared" ref="AC7:AC27" si="11">AA7+Y7+W7+U7+S7+Q7+O7+M7+K7+I7+G7+E7</f>
        <v>260</v>
      </c>
      <c r="AD7" s="73">
        <f t="shared" ref="AD7:AD27" si="12">AB7+Z7+X7+V7+T7+R7+P7+N7+L7+J7+H7+F7</f>
        <v>5821203.7800000021</v>
      </c>
      <c r="AE7" s="19">
        <f t="shared" si="3"/>
        <v>0</v>
      </c>
      <c r="AF7" s="78">
        <f t="shared" si="4"/>
        <v>0</v>
      </c>
      <c r="AG7" s="19">
        <f t="shared" si="5"/>
        <v>260</v>
      </c>
      <c r="AH7" t="e">
        <f t="shared" si="6"/>
        <v>#DIV/0!</v>
      </c>
      <c r="AI7" s="19">
        <f t="shared" si="7"/>
        <v>0</v>
      </c>
      <c r="AJ7" s="78" t="e">
        <f t="shared" si="8"/>
        <v>#DIV/0!</v>
      </c>
      <c r="AK7" s="19">
        <f t="shared" si="9"/>
        <v>0</v>
      </c>
      <c r="AL7" s="78" t="e">
        <f t="shared" si="10"/>
        <v>#DIV/0!</v>
      </c>
    </row>
    <row r="8" spans="1:38">
      <c r="A8" t="s">
        <v>51</v>
      </c>
      <c r="B8" t="s">
        <v>43</v>
      </c>
      <c r="C8" s="75" t="s">
        <v>97</v>
      </c>
      <c r="D8" s="76" t="s">
        <v>44</v>
      </c>
      <c r="E8" s="19">
        <v>6199</v>
      </c>
      <c r="F8" s="74">
        <v>116290852.20000006</v>
      </c>
      <c r="G8" s="19">
        <v>638</v>
      </c>
      <c r="H8" s="74">
        <v>11211059.6</v>
      </c>
      <c r="I8" s="19">
        <v>245.5</v>
      </c>
      <c r="J8" s="74">
        <v>5788201.5999999996</v>
      </c>
      <c r="K8" s="19">
        <v>8741</v>
      </c>
      <c r="L8" s="74">
        <v>179343057.80000022</v>
      </c>
      <c r="M8" s="19">
        <v>3555</v>
      </c>
      <c r="N8" s="74">
        <v>85834355.800000057</v>
      </c>
      <c r="O8" s="19">
        <v>3201.5</v>
      </c>
      <c r="P8" s="74">
        <v>72878619</v>
      </c>
      <c r="Q8" s="19">
        <v>130.5</v>
      </c>
      <c r="R8" s="74">
        <v>2604360</v>
      </c>
      <c r="S8" s="19"/>
      <c r="T8" s="74"/>
      <c r="U8" s="19"/>
      <c r="V8" s="74"/>
      <c r="W8" s="19"/>
      <c r="X8" s="74"/>
      <c r="Y8" s="19"/>
      <c r="Z8" s="74"/>
      <c r="AA8" s="19"/>
      <c r="AB8" s="74"/>
      <c r="AC8" s="49">
        <f t="shared" si="11"/>
        <v>22710.5</v>
      </c>
      <c r="AD8" s="73">
        <f t="shared" si="12"/>
        <v>473950506.00000036</v>
      </c>
      <c r="AE8" s="19">
        <f t="shared" si="3"/>
        <v>7082.5</v>
      </c>
      <c r="AF8" s="78">
        <f t="shared" si="4"/>
        <v>94322.619173226776</v>
      </c>
      <c r="AG8" s="19">
        <f t="shared" si="5"/>
        <v>15497.5</v>
      </c>
      <c r="AH8" t="e">
        <f t="shared" si="6"/>
        <v>#DIV/0!</v>
      </c>
      <c r="AI8" s="19">
        <f t="shared" si="7"/>
        <v>130.5</v>
      </c>
      <c r="AJ8" s="78" t="e">
        <f t="shared" si="8"/>
        <v>#DIV/0!</v>
      </c>
      <c r="AK8" s="19">
        <f t="shared" si="9"/>
        <v>0</v>
      </c>
      <c r="AL8" s="78" t="e">
        <f t="shared" si="10"/>
        <v>#DIV/0!</v>
      </c>
    </row>
    <row r="9" spans="1:38">
      <c r="A9" t="s">
        <v>98</v>
      </c>
      <c r="B9" t="s">
        <v>43</v>
      </c>
      <c r="C9" s="75" t="s">
        <v>49</v>
      </c>
      <c r="D9" s="76" t="s">
        <v>44</v>
      </c>
      <c r="E9" s="19"/>
      <c r="F9" s="74"/>
      <c r="G9" s="19">
        <v>-13.084</v>
      </c>
      <c r="H9" s="74">
        <v>-233674.8000000001</v>
      </c>
      <c r="I9" s="19">
        <v>1026.4169999999999</v>
      </c>
      <c r="J9" s="74">
        <v>20729132.559999999</v>
      </c>
      <c r="K9" s="19">
        <v>389.00099999999992</v>
      </c>
      <c r="L9" s="74">
        <v>8015969.120000001</v>
      </c>
      <c r="M9" s="19"/>
      <c r="N9" s="74"/>
      <c r="O9" s="19">
        <v>226.167</v>
      </c>
      <c r="P9" s="74">
        <v>5255769.84</v>
      </c>
      <c r="Q9" s="19">
        <v>95.001000000000005</v>
      </c>
      <c r="R9" s="74">
        <v>2267493.3600000003</v>
      </c>
      <c r="S9" s="19"/>
      <c r="T9" s="74"/>
      <c r="U9" s="19"/>
      <c r="V9" s="74"/>
      <c r="W9" s="19"/>
      <c r="X9" s="74"/>
      <c r="Y9" s="19"/>
      <c r="Z9" s="74"/>
      <c r="AA9" s="19"/>
      <c r="AB9" s="74"/>
      <c r="AC9" s="49">
        <f t="shared" si="11"/>
        <v>1723.5019999999997</v>
      </c>
      <c r="AD9" s="73">
        <f t="shared" si="12"/>
        <v>36034690.079999998</v>
      </c>
      <c r="AE9" s="19">
        <f t="shared" si="3"/>
        <v>1013.333</v>
      </c>
      <c r="AF9" s="78">
        <f t="shared" si="4"/>
        <v>14503.590759773744</v>
      </c>
      <c r="AG9" s="19">
        <f t="shared" si="5"/>
        <v>615.16799999999989</v>
      </c>
      <c r="AH9" t="e">
        <f t="shared" si="6"/>
        <v>#DIV/0!</v>
      </c>
      <c r="AI9" s="19">
        <f t="shared" si="7"/>
        <v>95.001000000000005</v>
      </c>
      <c r="AJ9" s="78" t="e">
        <f t="shared" si="8"/>
        <v>#DIV/0!</v>
      </c>
      <c r="AK9" s="19">
        <f t="shared" si="9"/>
        <v>0</v>
      </c>
      <c r="AL9" s="78" t="e">
        <f t="shared" si="10"/>
        <v>#DIV/0!</v>
      </c>
    </row>
    <row r="10" spans="1:38">
      <c r="A10" t="s">
        <v>99</v>
      </c>
      <c r="B10" t="s">
        <v>43</v>
      </c>
      <c r="C10" s="75" t="s">
        <v>49</v>
      </c>
      <c r="D10" s="76" t="s">
        <v>44</v>
      </c>
      <c r="E10" s="19"/>
      <c r="F10" s="74"/>
      <c r="G10" s="19">
        <v>126</v>
      </c>
      <c r="H10" s="74">
        <v>3650176.7999999993</v>
      </c>
      <c r="I10" s="19">
        <v>106</v>
      </c>
      <c r="J10" s="74">
        <v>2954880</v>
      </c>
      <c r="K10" s="19">
        <v>39</v>
      </c>
      <c r="L10" s="74">
        <v>932239.2</v>
      </c>
      <c r="M10" s="19"/>
      <c r="N10" s="74"/>
      <c r="O10" s="19">
        <v>90</v>
      </c>
      <c r="P10" s="74">
        <v>2602893.6</v>
      </c>
      <c r="Q10" s="19">
        <v>28</v>
      </c>
      <c r="R10" s="74">
        <v>688034.56</v>
      </c>
      <c r="S10" s="19"/>
      <c r="T10" s="74"/>
      <c r="U10" s="19"/>
      <c r="V10" s="74"/>
      <c r="W10" s="19"/>
      <c r="X10" s="74"/>
      <c r="Y10" s="19"/>
      <c r="Z10" s="74"/>
      <c r="AA10" s="19"/>
      <c r="AB10" s="74"/>
      <c r="AC10" s="49">
        <f t="shared" si="11"/>
        <v>389</v>
      </c>
      <c r="AD10" s="73">
        <f t="shared" si="12"/>
        <v>10828224.16</v>
      </c>
      <c r="AE10" s="19">
        <f t="shared" si="3"/>
        <v>232</v>
      </c>
      <c r="AF10" s="78">
        <f t="shared" si="4"/>
        <v>4674.0620235974047</v>
      </c>
      <c r="AG10" s="19">
        <f t="shared" si="5"/>
        <v>129</v>
      </c>
      <c r="AH10" t="e">
        <f t="shared" si="6"/>
        <v>#DIV/0!</v>
      </c>
      <c r="AI10" s="19">
        <f t="shared" si="7"/>
        <v>28</v>
      </c>
      <c r="AJ10" s="78" t="e">
        <f t="shared" si="8"/>
        <v>#DIV/0!</v>
      </c>
      <c r="AK10" s="19">
        <f t="shared" si="9"/>
        <v>0</v>
      </c>
      <c r="AL10" s="78" t="e">
        <f t="shared" si="10"/>
        <v>#DIV/0!</v>
      </c>
    </row>
    <row r="11" spans="1:38">
      <c r="A11" t="s">
        <v>100</v>
      </c>
      <c r="B11" t="s">
        <v>43</v>
      </c>
      <c r="C11" s="75" t="s">
        <v>49</v>
      </c>
      <c r="D11" s="76" t="s">
        <v>44</v>
      </c>
      <c r="E11" s="19"/>
      <c r="F11" s="74"/>
      <c r="G11" s="19">
        <v>785.5</v>
      </c>
      <c r="H11" s="74">
        <v>17327989.500000004</v>
      </c>
      <c r="I11" s="19">
        <v>271.5</v>
      </c>
      <c r="J11" s="74">
        <v>5825337.2999999998</v>
      </c>
      <c r="K11" s="19">
        <v>1056</v>
      </c>
      <c r="L11" s="74">
        <v>25499208.479999989</v>
      </c>
      <c r="M11" s="19">
        <v>351</v>
      </c>
      <c r="N11" s="74">
        <v>8759886.9899999984</v>
      </c>
      <c r="O11" s="19">
        <v>457.5</v>
      </c>
      <c r="P11" s="74">
        <v>11679517.65</v>
      </c>
      <c r="Q11" s="19">
        <v>695.5</v>
      </c>
      <c r="R11" s="74">
        <v>17042506.799999997</v>
      </c>
      <c r="S11" s="19"/>
      <c r="T11" s="74"/>
      <c r="U11" s="19"/>
      <c r="V11" s="74"/>
      <c r="W11" s="19"/>
      <c r="X11" s="74"/>
      <c r="Y11" s="19"/>
      <c r="Z11" s="74"/>
      <c r="AA11" s="19"/>
      <c r="AB11" s="74"/>
      <c r="AC11" s="49">
        <f t="shared" si="11"/>
        <v>3617</v>
      </c>
      <c r="AD11" s="73">
        <f t="shared" si="12"/>
        <v>86134446.719999984</v>
      </c>
      <c r="AE11" s="19">
        <f t="shared" si="3"/>
        <v>1057</v>
      </c>
      <c r="AF11" s="78">
        <f t="shared" si="4"/>
        <v>16384.429202156152</v>
      </c>
      <c r="AG11" s="19">
        <f t="shared" si="5"/>
        <v>1864.5</v>
      </c>
      <c r="AH11" t="e">
        <f t="shared" si="6"/>
        <v>#DIV/0!</v>
      </c>
      <c r="AI11" s="19">
        <f t="shared" si="7"/>
        <v>695.5</v>
      </c>
      <c r="AJ11" s="78" t="e">
        <f t="shared" si="8"/>
        <v>#DIV/0!</v>
      </c>
      <c r="AK11" s="19">
        <f t="shared" si="9"/>
        <v>0</v>
      </c>
      <c r="AL11" s="78" t="e">
        <f t="shared" si="10"/>
        <v>#DIV/0!</v>
      </c>
    </row>
    <row r="12" spans="1:38">
      <c r="A12" t="s">
        <v>131</v>
      </c>
      <c r="B12" t="s">
        <v>43</v>
      </c>
      <c r="C12" s="75" t="s">
        <v>49</v>
      </c>
      <c r="D12" s="76" t="s">
        <v>44</v>
      </c>
      <c r="E12" s="19"/>
      <c r="F12" s="74"/>
      <c r="G12" s="19"/>
      <c r="H12" s="74"/>
      <c r="I12" s="19">
        <v>9</v>
      </c>
      <c r="J12" s="74">
        <v>263057.40000000002</v>
      </c>
      <c r="K12" s="19"/>
      <c r="L12" s="74"/>
      <c r="M12" s="19"/>
      <c r="N12" s="74"/>
      <c r="O12" s="19"/>
      <c r="P12" s="74"/>
      <c r="Q12" s="19"/>
      <c r="R12" s="74"/>
      <c r="S12" s="19"/>
      <c r="T12" s="74"/>
      <c r="U12" s="19"/>
      <c r="V12" s="74"/>
      <c r="W12" s="19"/>
      <c r="X12" s="74"/>
      <c r="Y12" s="19"/>
      <c r="Z12" s="74"/>
      <c r="AA12" s="19"/>
      <c r="AB12" s="74"/>
      <c r="AC12" s="49">
        <f t="shared" si="11"/>
        <v>9</v>
      </c>
      <c r="AD12" s="73">
        <f t="shared" si="12"/>
        <v>263057.40000000002</v>
      </c>
      <c r="AE12" s="19">
        <f t="shared" si="3"/>
        <v>9</v>
      </c>
      <c r="AF12" s="78">
        <f t="shared" si="4"/>
        <v>186.15231338605176</v>
      </c>
      <c r="AG12" s="19">
        <f t="shared" si="5"/>
        <v>0</v>
      </c>
      <c r="AH12" t="e">
        <f t="shared" si="6"/>
        <v>#DIV/0!</v>
      </c>
      <c r="AI12" s="19">
        <f t="shared" si="7"/>
        <v>0</v>
      </c>
      <c r="AJ12" s="78" t="e">
        <f t="shared" si="8"/>
        <v>#DIV/0!</v>
      </c>
      <c r="AK12" s="19">
        <f t="shared" si="9"/>
        <v>0</v>
      </c>
      <c r="AL12" s="78" t="e">
        <f t="shared" si="10"/>
        <v>#DIV/0!</v>
      </c>
    </row>
    <row r="13" spans="1:38">
      <c r="A13" t="s">
        <v>101</v>
      </c>
      <c r="B13" t="s">
        <v>43</v>
      </c>
      <c r="C13" s="75" t="s">
        <v>49</v>
      </c>
      <c r="D13" s="76" t="s">
        <v>44</v>
      </c>
      <c r="E13" s="19"/>
      <c r="F13" s="74"/>
      <c r="G13" s="19">
        <v>2629.5</v>
      </c>
      <c r="H13" s="74">
        <v>55731765.719999976</v>
      </c>
      <c r="I13" s="19">
        <v>388.5</v>
      </c>
      <c r="J13" s="74">
        <v>6471501.3200000012</v>
      </c>
      <c r="K13" s="19"/>
      <c r="L13" s="74"/>
      <c r="M13" s="19">
        <v>1779.5</v>
      </c>
      <c r="N13" s="74">
        <v>39855162.569999993</v>
      </c>
      <c r="O13" s="19"/>
      <c r="P13" s="74"/>
      <c r="Q13" s="19"/>
      <c r="R13" s="74"/>
      <c r="S13" s="19"/>
      <c r="T13" s="74"/>
      <c r="U13" s="19"/>
      <c r="V13" s="74"/>
      <c r="W13" s="19"/>
      <c r="X13" s="74"/>
      <c r="Y13" s="19"/>
      <c r="Z13" s="74"/>
      <c r="AA13" s="19"/>
      <c r="AB13" s="74"/>
      <c r="AC13" s="49">
        <f t="shared" si="11"/>
        <v>4797.5</v>
      </c>
      <c r="AD13" s="73">
        <f t="shared" si="12"/>
        <v>102058429.60999997</v>
      </c>
      <c r="AE13" s="19">
        <f t="shared" si="3"/>
        <v>3018</v>
      </c>
      <c r="AF13" s="78">
        <f t="shared" si="4"/>
        <v>44018.081451676859</v>
      </c>
      <c r="AG13" s="19">
        <f t="shared" si="5"/>
        <v>1779.5</v>
      </c>
      <c r="AH13" t="e">
        <f t="shared" si="6"/>
        <v>#DIV/0!</v>
      </c>
      <c r="AI13" s="19">
        <f t="shared" si="7"/>
        <v>0</v>
      </c>
      <c r="AJ13" s="78" t="e">
        <f t="shared" si="8"/>
        <v>#DIV/0!</v>
      </c>
      <c r="AK13" s="19">
        <f t="shared" si="9"/>
        <v>0</v>
      </c>
      <c r="AL13" s="78" t="e">
        <f t="shared" si="10"/>
        <v>#DIV/0!</v>
      </c>
    </row>
    <row r="14" spans="1:38">
      <c r="A14" t="s">
        <v>146</v>
      </c>
      <c r="B14" t="s">
        <v>43</v>
      </c>
      <c r="C14" s="75" t="s">
        <v>49</v>
      </c>
      <c r="D14" s="76" t="s">
        <v>44</v>
      </c>
      <c r="E14" s="19"/>
      <c r="F14" s="74"/>
      <c r="G14" s="19"/>
      <c r="H14" s="74"/>
      <c r="I14" s="19"/>
      <c r="J14" s="74"/>
      <c r="K14" s="19">
        <v>37.5</v>
      </c>
      <c r="L14" s="74">
        <v>1022392.8</v>
      </c>
      <c r="M14" s="19"/>
      <c r="N14" s="74"/>
      <c r="O14" s="19"/>
      <c r="P14" s="74"/>
      <c r="Q14" s="19"/>
      <c r="R14" s="74"/>
      <c r="S14" s="19"/>
      <c r="T14" s="74"/>
      <c r="U14" s="19"/>
      <c r="V14" s="74"/>
      <c r="W14" s="19"/>
      <c r="X14" s="74"/>
      <c r="Y14" s="19"/>
      <c r="Z14" s="74"/>
      <c r="AA14" s="19"/>
      <c r="AB14" s="74"/>
      <c r="AC14" s="49">
        <f t="shared" si="11"/>
        <v>37.5</v>
      </c>
      <c r="AD14" s="73">
        <f t="shared" si="12"/>
        <v>1022392.8</v>
      </c>
      <c r="AE14" s="19">
        <f t="shared" si="3"/>
        <v>0</v>
      </c>
      <c r="AF14" s="78">
        <f t="shared" si="4"/>
        <v>0</v>
      </c>
      <c r="AG14" s="19">
        <f t="shared" si="5"/>
        <v>37.5</v>
      </c>
      <c r="AH14" t="e">
        <f t="shared" si="6"/>
        <v>#DIV/0!</v>
      </c>
      <c r="AI14" s="19">
        <f t="shared" si="7"/>
        <v>0</v>
      </c>
      <c r="AJ14" s="78" t="e">
        <f t="shared" si="8"/>
        <v>#DIV/0!</v>
      </c>
      <c r="AK14" s="19">
        <f t="shared" si="9"/>
        <v>0</v>
      </c>
      <c r="AL14" s="78" t="e">
        <f t="shared" si="10"/>
        <v>#DIV/0!</v>
      </c>
    </row>
    <row r="15" spans="1:38">
      <c r="A15" t="s">
        <v>74</v>
      </c>
      <c r="B15" t="s">
        <v>43</v>
      </c>
      <c r="C15" s="75" t="s">
        <v>49</v>
      </c>
      <c r="D15" s="76" t="s">
        <v>44</v>
      </c>
      <c r="E15" s="19">
        <v>126.666</v>
      </c>
      <c r="F15" s="74">
        <v>2620274.29</v>
      </c>
      <c r="G15" s="19">
        <v>347.41700000000003</v>
      </c>
      <c r="H15" s="74">
        <v>7246937.8700000001</v>
      </c>
      <c r="I15" s="19">
        <v>196.75</v>
      </c>
      <c r="J15" s="74">
        <v>4187642.23</v>
      </c>
      <c r="K15" s="19">
        <v>307.00200000000001</v>
      </c>
      <c r="L15" s="74">
        <v>7329410.4800000014</v>
      </c>
      <c r="M15" s="19">
        <v>253.833</v>
      </c>
      <c r="N15" s="74">
        <v>5600952.1599999992</v>
      </c>
      <c r="O15" s="19">
        <v>65.75</v>
      </c>
      <c r="P15" s="74">
        <v>1715604.3399999999</v>
      </c>
      <c r="Q15" s="19">
        <v>205.501</v>
      </c>
      <c r="R15" s="74">
        <v>4716714.2300000004</v>
      </c>
      <c r="S15" s="19"/>
      <c r="T15" s="74"/>
      <c r="U15" s="19"/>
      <c r="V15" s="74"/>
      <c r="W15" s="19"/>
      <c r="X15" s="74"/>
      <c r="Y15" s="19"/>
      <c r="Z15" s="74"/>
      <c r="AA15" s="19"/>
      <c r="AB15" s="74"/>
      <c r="AC15" s="49">
        <f t="shared" si="11"/>
        <v>1502.9190000000001</v>
      </c>
      <c r="AD15" s="73">
        <f t="shared" si="12"/>
        <v>33417535.600000001</v>
      </c>
      <c r="AE15" s="19">
        <f t="shared" si="3"/>
        <v>670.83300000000008</v>
      </c>
      <c r="AF15" s="78">
        <f t="shared" si="4"/>
        <v>9945.9040460470042</v>
      </c>
      <c r="AG15" s="19">
        <f t="shared" si="5"/>
        <v>626.58500000000004</v>
      </c>
      <c r="AH15" t="e">
        <f t="shared" si="6"/>
        <v>#DIV/0!</v>
      </c>
      <c r="AI15" s="19">
        <f t="shared" si="7"/>
        <v>205.501</v>
      </c>
      <c r="AJ15" s="78" t="e">
        <f t="shared" si="8"/>
        <v>#DIV/0!</v>
      </c>
      <c r="AK15" s="19">
        <f t="shared" si="9"/>
        <v>0</v>
      </c>
      <c r="AL15" s="78" t="e">
        <f t="shared" si="10"/>
        <v>#DIV/0!</v>
      </c>
    </row>
    <row r="16" spans="1:38">
      <c r="A16" t="s">
        <v>102</v>
      </c>
      <c r="B16" t="s">
        <v>130</v>
      </c>
      <c r="C16" s="75" t="s">
        <v>49</v>
      </c>
      <c r="D16" s="76" t="s">
        <v>44</v>
      </c>
      <c r="E16" s="19"/>
      <c r="F16" s="74"/>
      <c r="G16" s="19">
        <v>122.5</v>
      </c>
      <c r="H16" s="74">
        <v>2881775.0199999996</v>
      </c>
      <c r="I16" s="19">
        <v>77.5</v>
      </c>
      <c r="J16" s="74">
        <v>1965678.9099999997</v>
      </c>
      <c r="K16" s="19"/>
      <c r="L16" s="74"/>
      <c r="M16" s="19">
        <v>94.5</v>
      </c>
      <c r="N16" s="74">
        <v>2351060.19</v>
      </c>
      <c r="O16" s="19"/>
      <c r="P16" s="74"/>
      <c r="Q16" s="19">
        <v>58.25</v>
      </c>
      <c r="R16" s="74">
        <v>1511801.3600000006</v>
      </c>
      <c r="S16" s="19"/>
      <c r="T16" s="74"/>
      <c r="U16" s="19"/>
      <c r="V16" s="74"/>
      <c r="W16" s="19"/>
      <c r="X16" s="74"/>
      <c r="Y16" s="19"/>
      <c r="Z16" s="74"/>
      <c r="AA16" s="19"/>
      <c r="AB16" s="74"/>
      <c r="AC16" s="49">
        <f t="shared" si="11"/>
        <v>352.75</v>
      </c>
      <c r="AD16" s="73">
        <f t="shared" si="12"/>
        <v>8710315.4800000004</v>
      </c>
      <c r="AE16" s="19">
        <f t="shared" si="3"/>
        <v>200</v>
      </c>
      <c r="AF16" s="78">
        <f t="shared" si="4"/>
        <v>3430.2960612467396</v>
      </c>
      <c r="AG16" s="19">
        <f t="shared" si="5"/>
        <v>94.5</v>
      </c>
      <c r="AH16" t="e">
        <f t="shared" si="6"/>
        <v>#DIV/0!</v>
      </c>
      <c r="AI16" s="19">
        <f t="shared" si="7"/>
        <v>58.25</v>
      </c>
      <c r="AJ16" s="78" t="e">
        <f t="shared" si="8"/>
        <v>#DIV/0!</v>
      </c>
      <c r="AK16" s="19">
        <f t="shared" si="9"/>
        <v>0</v>
      </c>
      <c r="AL16" s="78" t="e">
        <f t="shared" si="10"/>
        <v>#DIV/0!</v>
      </c>
    </row>
    <row r="17" spans="1:38">
      <c r="A17" t="s">
        <v>103</v>
      </c>
      <c r="B17" t="s">
        <v>130</v>
      </c>
      <c r="C17" s="75" t="s">
        <v>49</v>
      </c>
      <c r="D17" s="76" t="s">
        <v>44</v>
      </c>
      <c r="E17" s="19"/>
      <c r="F17" s="74"/>
      <c r="G17" s="19">
        <v>33.75</v>
      </c>
      <c r="H17" s="74">
        <v>698862.65</v>
      </c>
      <c r="I17" s="19"/>
      <c r="J17" s="74"/>
      <c r="K17" s="19">
        <v>31.25</v>
      </c>
      <c r="L17" s="74">
        <v>733961.58</v>
      </c>
      <c r="M17" s="19"/>
      <c r="N17" s="74"/>
      <c r="O17" s="19">
        <v>31</v>
      </c>
      <c r="P17" s="74">
        <v>758448.24</v>
      </c>
      <c r="Q17" s="19">
        <v>15.25</v>
      </c>
      <c r="R17" s="74">
        <v>419633.13</v>
      </c>
      <c r="S17" s="19"/>
      <c r="T17" s="74"/>
      <c r="U17" s="19"/>
      <c r="V17" s="74"/>
      <c r="W17" s="19"/>
      <c r="X17" s="74"/>
      <c r="Y17" s="19"/>
      <c r="Z17" s="74"/>
      <c r="AA17" s="19"/>
      <c r="AB17" s="74"/>
      <c r="AC17" s="49">
        <f t="shared" si="11"/>
        <v>111.25</v>
      </c>
      <c r="AD17" s="73">
        <f t="shared" si="12"/>
        <v>2610905.6</v>
      </c>
      <c r="AE17" s="19">
        <f t="shared" si="3"/>
        <v>33.75</v>
      </c>
      <c r="AF17" s="78">
        <f t="shared" si="4"/>
        <v>494.54947489257705</v>
      </c>
      <c r="AG17" s="19">
        <f t="shared" si="5"/>
        <v>62.25</v>
      </c>
      <c r="AH17" t="e">
        <f t="shared" si="6"/>
        <v>#DIV/0!</v>
      </c>
      <c r="AI17" s="19">
        <f t="shared" si="7"/>
        <v>15.25</v>
      </c>
      <c r="AJ17" s="78" t="e">
        <f t="shared" si="8"/>
        <v>#DIV/0!</v>
      </c>
      <c r="AK17" s="19">
        <f t="shared" si="9"/>
        <v>0</v>
      </c>
      <c r="AL17" s="78" t="e">
        <f t="shared" si="10"/>
        <v>#DIV/0!</v>
      </c>
    </row>
    <row r="18" spans="1:38">
      <c r="A18" t="s">
        <v>104</v>
      </c>
      <c r="B18" t="s">
        <v>130</v>
      </c>
      <c r="C18" s="80" t="s">
        <v>49</v>
      </c>
      <c r="D18" s="81" t="s">
        <v>44</v>
      </c>
      <c r="E18" s="19"/>
      <c r="F18" s="74"/>
      <c r="G18" s="19">
        <v>-1.5</v>
      </c>
      <c r="H18" s="74">
        <v>-33259.08</v>
      </c>
      <c r="I18" s="19">
        <v>46</v>
      </c>
      <c r="J18" s="74">
        <v>1223937.52</v>
      </c>
      <c r="K18" s="19"/>
      <c r="L18" s="74"/>
      <c r="M18" s="19"/>
      <c r="N18" s="74"/>
      <c r="O18" s="19">
        <v>29</v>
      </c>
      <c r="P18" s="74">
        <v>786654.81</v>
      </c>
      <c r="Q18" s="19"/>
      <c r="R18" s="74"/>
      <c r="S18" s="19"/>
      <c r="T18" s="74"/>
      <c r="U18" s="19"/>
      <c r="V18" s="74"/>
      <c r="W18" s="19"/>
      <c r="X18" s="74"/>
      <c r="Y18" s="19"/>
      <c r="Z18" s="74"/>
      <c r="AA18" s="19"/>
      <c r="AB18" s="74"/>
      <c r="AC18" s="49">
        <f t="shared" si="11"/>
        <v>73.5</v>
      </c>
      <c r="AD18" s="73">
        <f t="shared" si="12"/>
        <v>1977333.25</v>
      </c>
      <c r="AE18" s="19">
        <f t="shared" si="3"/>
        <v>44.5</v>
      </c>
      <c r="AF18" s="78">
        <f t="shared" si="4"/>
        <v>842.58244058101081</v>
      </c>
      <c r="AG18" s="19">
        <f t="shared" si="5"/>
        <v>29</v>
      </c>
      <c r="AH18" t="e">
        <f t="shared" si="6"/>
        <v>#DIV/0!</v>
      </c>
      <c r="AI18" s="19">
        <f t="shared" si="7"/>
        <v>0</v>
      </c>
      <c r="AJ18" s="78" t="e">
        <f t="shared" si="8"/>
        <v>#DIV/0!</v>
      </c>
      <c r="AK18" s="19">
        <f t="shared" si="9"/>
        <v>0</v>
      </c>
      <c r="AL18" s="78" t="e">
        <f t="shared" si="10"/>
        <v>#DIV/0!</v>
      </c>
    </row>
    <row r="19" spans="1:38">
      <c r="A19" t="s">
        <v>161</v>
      </c>
      <c r="B19" t="s">
        <v>130</v>
      </c>
      <c r="C19" s="80" t="s">
        <v>49</v>
      </c>
      <c r="D19" s="81" t="s">
        <v>44</v>
      </c>
      <c r="E19" s="19"/>
      <c r="F19" s="74"/>
      <c r="G19" s="19"/>
      <c r="H19" s="74"/>
      <c r="I19" s="19"/>
      <c r="J19" s="74"/>
      <c r="K19" s="19"/>
      <c r="L19" s="74"/>
      <c r="M19" s="19"/>
      <c r="N19" s="74"/>
      <c r="O19" s="19">
        <v>180</v>
      </c>
      <c r="P19" s="74">
        <v>4736397.78</v>
      </c>
      <c r="Q19" s="19"/>
      <c r="R19" s="74"/>
      <c r="S19" s="19"/>
      <c r="T19" s="74"/>
      <c r="U19" s="19"/>
      <c r="V19" s="74"/>
      <c r="W19" s="19"/>
      <c r="X19" s="74"/>
      <c r="Y19" s="19"/>
      <c r="Z19" s="74"/>
      <c r="AA19" s="19"/>
      <c r="AB19" s="74"/>
      <c r="AC19" s="49">
        <f t="shared" si="11"/>
        <v>180</v>
      </c>
      <c r="AD19" s="73">
        <f t="shared" si="12"/>
        <v>4736397.78</v>
      </c>
      <c r="AE19" s="19">
        <f t="shared" si="3"/>
        <v>0</v>
      </c>
      <c r="AF19" s="78">
        <f t="shared" si="4"/>
        <v>0</v>
      </c>
      <c r="AG19" s="19">
        <f t="shared" si="5"/>
        <v>180</v>
      </c>
      <c r="AH19" t="e">
        <f t="shared" si="6"/>
        <v>#DIV/0!</v>
      </c>
      <c r="AI19" s="19">
        <f t="shared" si="7"/>
        <v>0</v>
      </c>
      <c r="AJ19" s="78" t="e">
        <f t="shared" si="8"/>
        <v>#DIV/0!</v>
      </c>
      <c r="AK19" s="19">
        <f t="shared" si="9"/>
        <v>0</v>
      </c>
      <c r="AL19" s="78" t="e">
        <f t="shared" si="10"/>
        <v>#DIV/0!</v>
      </c>
    </row>
    <row r="20" spans="1:38">
      <c r="A20" t="s">
        <v>147</v>
      </c>
      <c r="B20" t="s">
        <v>130</v>
      </c>
      <c r="C20" s="80" t="s">
        <v>49</v>
      </c>
      <c r="D20" s="81" t="s">
        <v>44</v>
      </c>
      <c r="E20" s="19"/>
      <c r="F20" s="74"/>
      <c r="G20" s="19"/>
      <c r="H20" s="74"/>
      <c r="I20" s="19"/>
      <c r="J20" s="74"/>
      <c r="K20" s="19">
        <v>340</v>
      </c>
      <c r="L20" s="74">
        <v>8853405.8399999999</v>
      </c>
      <c r="M20" s="19"/>
      <c r="N20" s="74"/>
      <c r="O20" s="19">
        <v>353</v>
      </c>
      <c r="P20" s="74">
        <v>10007348.580000002</v>
      </c>
      <c r="Q20" s="19">
        <v>66</v>
      </c>
      <c r="R20" s="74">
        <v>1916194.32</v>
      </c>
      <c r="S20" s="19"/>
      <c r="T20" s="74"/>
      <c r="U20" s="19"/>
      <c r="V20" s="74"/>
      <c r="W20" s="19"/>
      <c r="X20" s="74"/>
      <c r="Y20" s="19"/>
      <c r="Z20" s="74"/>
      <c r="AA20" s="19"/>
      <c r="AB20" s="74"/>
      <c r="AC20" s="49">
        <f t="shared" si="11"/>
        <v>759</v>
      </c>
      <c r="AD20" s="73">
        <f t="shared" si="12"/>
        <v>20776948.740000002</v>
      </c>
      <c r="AE20" s="19">
        <f t="shared" si="3"/>
        <v>0</v>
      </c>
      <c r="AF20" s="78">
        <f t="shared" si="4"/>
        <v>0</v>
      </c>
      <c r="AG20" s="19">
        <f t="shared" si="5"/>
        <v>693</v>
      </c>
      <c r="AH20" t="e">
        <f t="shared" si="6"/>
        <v>#DIV/0!</v>
      </c>
      <c r="AI20" s="19">
        <f t="shared" si="7"/>
        <v>66</v>
      </c>
      <c r="AJ20" s="78" t="e">
        <f t="shared" si="8"/>
        <v>#DIV/0!</v>
      </c>
      <c r="AK20" s="19">
        <f t="shared" si="9"/>
        <v>0</v>
      </c>
      <c r="AL20" s="78" t="e">
        <f t="shared" si="10"/>
        <v>#DIV/0!</v>
      </c>
    </row>
    <row r="21" spans="1:38">
      <c r="A21" t="s">
        <v>105</v>
      </c>
      <c r="B21" t="s">
        <v>130</v>
      </c>
      <c r="C21" s="80" t="s">
        <v>49</v>
      </c>
      <c r="D21" s="81" t="s">
        <v>44</v>
      </c>
      <c r="E21" s="19"/>
      <c r="F21" s="74"/>
      <c r="G21" s="19">
        <v>19.75</v>
      </c>
      <c r="H21" s="74">
        <v>467648.79</v>
      </c>
      <c r="I21" s="19">
        <v>17.5</v>
      </c>
      <c r="J21" s="74">
        <v>418049.49</v>
      </c>
      <c r="K21" s="19"/>
      <c r="L21" s="74"/>
      <c r="M21" s="19"/>
      <c r="N21" s="74"/>
      <c r="O21" s="19">
        <v>18.75</v>
      </c>
      <c r="P21" s="74">
        <v>501777.27</v>
      </c>
      <c r="Q21" s="19"/>
      <c r="R21" s="74"/>
      <c r="S21" s="19"/>
      <c r="T21" s="74"/>
      <c r="U21" s="19"/>
      <c r="V21" s="74"/>
      <c r="W21" s="19"/>
      <c r="X21" s="74"/>
      <c r="Y21" s="19"/>
      <c r="Z21" s="74"/>
      <c r="AA21" s="19"/>
      <c r="AB21" s="74"/>
      <c r="AC21" s="49">
        <f t="shared" si="11"/>
        <v>56</v>
      </c>
      <c r="AD21" s="73">
        <f t="shared" si="12"/>
        <v>1387475.55</v>
      </c>
      <c r="AE21" s="19">
        <f t="shared" si="3"/>
        <v>37.25</v>
      </c>
      <c r="AF21" s="78">
        <f t="shared" si="4"/>
        <v>626.76352683500647</v>
      </c>
      <c r="AG21" s="19">
        <f t="shared" si="5"/>
        <v>18.75</v>
      </c>
      <c r="AH21" t="e">
        <f t="shared" si="6"/>
        <v>#DIV/0!</v>
      </c>
      <c r="AI21" s="19">
        <f t="shared" si="7"/>
        <v>0</v>
      </c>
      <c r="AJ21" s="78" t="e">
        <f t="shared" si="8"/>
        <v>#DIV/0!</v>
      </c>
      <c r="AK21" s="19">
        <f t="shared" si="9"/>
        <v>0</v>
      </c>
      <c r="AL21" s="78" t="e">
        <f t="shared" si="10"/>
        <v>#DIV/0!</v>
      </c>
    </row>
    <row r="22" spans="1:38">
      <c r="A22" t="s">
        <v>148</v>
      </c>
      <c r="B22" t="s">
        <v>130</v>
      </c>
      <c r="C22" s="80" t="s">
        <v>49</v>
      </c>
      <c r="D22" s="81" t="s">
        <v>44</v>
      </c>
      <c r="E22" s="19"/>
      <c r="F22" s="74"/>
      <c r="G22" s="19"/>
      <c r="H22" s="74"/>
      <c r="I22" s="19"/>
      <c r="J22" s="74"/>
      <c r="K22" s="19">
        <v>48</v>
      </c>
      <c r="L22" s="74">
        <v>1157419.5100000002</v>
      </c>
      <c r="M22" s="19"/>
      <c r="N22" s="74"/>
      <c r="O22" s="19">
        <v>27</v>
      </c>
      <c r="P22" s="74">
        <v>807428.06999999983</v>
      </c>
      <c r="Q22" s="19"/>
      <c r="R22" s="74"/>
      <c r="S22" s="19"/>
      <c r="T22" s="74"/>
      <c r="U22" s="19"/>
      <c r="V22" s="74"/>
      <c r="W22" s="19"/>
      <c r="X22" s="74"/>
      <c r="Y22" s="19"/>
      <c r="Z22" s="74"/>
      <c r="AA22" s="19"/>
      <c r="AB22" s="74"/>
      <c r="AC22" s="49">
        <f t="shared" si="11"/>
        <v>75</v>
      </c>
      <c r="AD22" s="73">
        <f t="shared" si="12"/>
        <v>1964847.58</v>
      </c>
      <c r="AE22" s="19">
        <f t="shared" si="3"/>
        <v>0</v>
      </c>
      <c r="AF22" s="78">
        <f t="shared" si="4"/>
        <v>0</v>
      </c>
      <c r="AG22" s="19">
        <f t="shared" si="5"/>
        <v>75</v>
      </c>
      <c r="AH22" t="e">
        <f t="shared" si="6"/>
        <v>#DIV/0!</v>
      </c>
      <c r="AI22" s="19">
        <f t="shared" si="7"/>
        <v>0</v>
      </c>
      <c r="AJ22" s="78" t="e">
        <f t="shared" si="8"/>
        <v>#DIV/0!</v>
      </c>
      <c r="AK22" s="19">
        <f t="shared" si="9"/>
        <v>0</v>
      </c>
      <c r="AL22" s="78" t="e">
        <f t="shared" si="10"/>
        <v>#DIV/0!</v>
      </c>
    </row>
    <row r="23" spans="1:38">
      <c r="A23" t="s">
        <v>149</v>
      </c>
      <c r="B23" t="s">
        <v>130</v>
      </c>
      <c r="C23" s="80" t="s">
        <v>49</v>
      </c>
      <c r="D23" s="81" t="s">
        <v>44</v>
      </c>
      <c r="E23" s="19"/>
      <c r="F23" s="74"/>
      <c r="G23" s="19"/>
      <c r="H23" s="74"/>
      <c r="I23" s="19"/>
      <c r="J23" s="74"/>
      <c r="K23" s="19">
        <v>63</v>
      </c>
      <c r="L23" s="74">
        <v>1418112.3000000003</v>
      </c>
      <c r="M23" s="19"/>
      <c r="N23" s="74"/>
      <c r="O23" s="19"/>
      <c r="P23" s="74"/>
      <c r="Q23" s="19">
        <v>28</v>
      </c>
      <c r="R23" s="74">
        <v>764818.08999999985</v>
      </c>
      <c r="S23" s="19"/>
      <c r="T23" s="74"/>
      <c r="U23" s="19"/>
      <c r="V23" s="74"/>
      <c r="W23" s="19"/>
      <c r="X23" s="74"/>
      <c r="Y23" s="19"/>
      <c r="Z23" s="74"/>
      <c r="AA23" s="19"/>
      <c r="AB23" s="74"/>
      <c r="AC23" s="49">
        <f t="shared" si="11"/>
        <v>91</v>
      </c>
      <c r="AD23" s="73">
        <f t="shared" si="12"/>
        <v>2182930.39</v>
      </c>
      <c r="AE23" s="19">
        <f t="shared" si="3"/>
        <v>0</v>
      </c>
      <c r="AF23" s="78">
        <f t="shared" si="4"/>
        <v>0</v>
      </c>
      <c r="AG23" s="19">
        <f t="shared" si="5"/>
        <v>63</v>
      </c>
      <c r="AH23" t="e">
        <f t="shared" si="6"/>
        <v>#DIV/0!</v>
      </c>
      <c r="AI23" s="19">
        <f t="shared" si="7"/>
        <v>28</v>
      </c>
      <c r="AJ23" s="78" t="e">
        <f t="shared" si="8"/>
        <v>#DIV/0!</v>
      </c>
      <c r="AK23" s="19">
        <f t="shared" si="9"/>
        <v>0</v>
      </c>
      <c r="AL23" s="78" t="e">
        <f t="shared" si="10"/>
        <v>#DIV/0!</v>
      </c>
    </row>
    <row r="24" spans="1:38">
      <c r="A24" t="s">
        <v>106</v>
      </c>
      <c r="B24" t="s">
        <v>130</v>
      </c>
      <c r="C24" s="80" t="s">
        <v>49</v>
      </c>
      <c r="D24" s="81" t="s">
        <v>44</v>
      </c>
      <c r="E24" s="19"/>
      <c r="F24" s="74"/>
      <c r="G24" s="19">
        <v>126.5</v>
      </c>
      <c r="H24" s="74">
        <v>2717783.82</v>
      </c>
      <c r="I24" s="19"/>
      <c r="J24" s="74"/>
      <c r="K24" s="19">
        <v>137</v>
      </c>
      <c r="L24" s="74">
        <v>3319780.6799999992</v>
      </c>
      <c r="M24" s="19"/>
      <c r="N24" s="74"/>
      <c r="O24" s="19"/>
      <c r="P24" s="74"/>
      <c r="Q24" s="19"/>
      <c r="R24" s="74"/>
      <c r="S24" s="19"/>
      <c r="T24" s="74"/>
      <c r="U24" s="19"/>
      <c r="V24" s="74"/>
      <c r="W24" s="19"/>
      <c r="X24" s="74"/>
      <c r="Y24" s="19"/>
      <c r="Z24" s="74"/>
      <c r="AA24" s="19"/>
      <c r="AB24" s="74"/>
      <c r="AC24" s="49">
        <f t="shared" si="11"/>
        <v>263.5</v>
      </c>
      <c r="AD24" s="73">
        <f t="shared" si="12"/>
        <v>6037564.4999999991</v>
      </c>
      <c r="AE24" s="19">
        <f t="shared" si="3"/>
        <v>126.5</v>
      </c>
      <c r="AF24" s="78">
        <f t="shared" si="4"/>
        <v>1923.237078204912</v>
      </c>
      <c r="AG24" s="19">
        <f t="shared" si="5"/>
        <v>137</v>
      </c>
      <c r="AH24" t="e">
        <f t="shared" si="6"/>
        <v>#DIV/0!</v>
      </c>
      <c r="AI24" s="19">
        <f t="shared" si="7"/>
        <v>0</v>
      </c>
      <c r="AJ24" s="78" t="e">
        <f t="shared" si="8"/>
        <v>#DIV/0!</v>
      </c>
      <c r="AK24" s="19">
        <f t="shared" si="9"/>
        <v>0</v>
      </c>
      <c r="AL24" s="78" t="e">
        <f t="shared" si="10"/>
        <v>#DIV/0!</v>
      </c>
    </row>
    <row r="25" spans="1:38">
      <c r="A25" t="s">
        <v>132</v>
      </c>
      <c r="B25" t="s">
        <v>130</v>
      </c>
      <c r="C25" s="80" t="s">
        <v>49</v>
      </c>
      <c r="D25" s="81" t="s">
        <v>44</v>
      </c>
      <c r="E25" s="19"/>
      <c r="F25" s="74"/>
      <c r="G25" s="19"/>
      <c r="H25" s="74"/>
      <c r="I25" s="19">
        <v>12.5</v>
      </c>
      <c r="J25" s="74">
        <v>345026.41000000003</v>
      </c>
      <c r="K25" s="19"/>
      <c r="L25" s="74"/>
      <c r="M25" s="19"/>
      <c r="N25" s="74"/>
      <c r="O25" s="19"/>
      <c r="P25" s="74"/>
      <c r="Q25" s="19"/>
      <c r="R25" s="74"/>
      <c r="S25" s="19"/>
      <c r="T25" s="74"/>
      <c r="U25" s="19"/>
      <c r="V25" s="74"/>
      <c r="W25" s="19"/>
      <c r="X25" s="74"/>
      <c r="Y25" s="19"/>
      <c r="Z25" s="74"/>
      <c r="AA25" s="19"/>
      <c r="AB25" s="74"/>
      <c r="AC25" s="49">
        <f t="shared" si="11"/>
        <v>12.5</v>
      </c>
      <c r="AD25" s="73">
        <f t="shared" si="12"/>
        <v>345026.41000000003</v>
      </c>
      <c r="AE25" s="19">
        <f t="shared" si="3"/>
        <v>12.5</v>
      </c>
      <c r="AF25" s="78">
        <f t="shared" si="4"/>
        <v>244.15760362865439</v>
      </c>
      <c r="AG25" s="19">
        <f t="shared" si="5"/>
        <v>0</v>
      </c>
      <c r="AH25" t="e">
        <f t="shared" si="6"/>
        <v>#DIV/0!</v>
      </c>
      <c r="AI25" s="19">
        <f t="shared" si="7"/>
        <v>0</v>
      </c>
      <c r="AJ25" s="78" t="e">
        <f t="shared" si="8"/>
        <v>#DIV/0!</v>
      </c>
      <c r="AK25" s="19">
        <f t="shared" si="9"/>
        <v>0</v>
      </c>
      <c r="AL25" s="78" t="e">
        <f t="shared" si="10"/>
        <v>#DIV/0!</v>
      </c>
    </row>
    <row r="26" spans="1:38">
      <c r="A26" t="s">
        <v>150</v>
      </c>
      <c r="B26" t="s">
        <v>130</v>
      </c>
      <c r="C26" s="80" t="s">
        <v>49</v>
      </c>
      <c r="D26" s="81" t="s">
        <v>44</v>
      </c>
      <c r="E26" s="19"/>
      <c r="F26" s="74"/>
      <c r="G26" s="19"/>
      <c r="H26" s="74"/>
      <c r="I26" s="19"/>
      <c r="J26" s="74"/>
      <c r="K26" s="19">
        <v>21.75</v>
      </c>
      <c r="L26" s="74">
        <v>570783.18999999994</v>
      </c>
      <c r="M26" s="19"/>
      <c r="N26" s="74"/>
      <c r="O26" s="19">
        <v>18.5</v>
      </c>
      <c r="P26" s="74">
        <v>503842.41</v>
      </c>
      <c r="Q26" s="19"/>
      <c r="R26" s="74"/>
      <c r="S26" s="19"/>
      <c r="T26" s="74"/>
      <c r="U26" s="19"/>
      <c r="V26" s="74"/>
      <c r="W26" s="19"/>
      <c r="X26" s="74"/>
      <c r="Y26" s="19"/>
      <c r="Z26" s="74"/>
      <c r="AA26" s="19"/>
      <c r="AB26" s="74"/>
      <c r="AC26" s="49">
        <f t="shared" si="11"/>
        <v>40.25</v>
      </c>
      <c r="AD26" s="73">
        <f t="shared" si="12"/>
        <v>1074625.5999999999</v>
      </c>
      <c r="AE26" s="19">
        <f t="shared" si="3"/>
        <v>0</v>
      </c>
      <c r="AF26" s="78">
        <f t="shared" si="4"/>
        <v>0</v>
      </c>
      <c r="AG26" s="19">
        <f t="shared" si="5"/>
        <v>40.25</v>
      </c>
      <c r="AH26" t="e">
        <f t="shared" si="6"/>
        <v>#DIV/0!</v>
      </c>
      <c r="AI26" s="19">
        <f t="shared" si="7"/>
        <v>0</v>
      </c>
      <c r="AJ26" s="78" t="e">
        <f t="shared" si="8"/>
        <v>#DIV/0!</v>
      </c>
      <c r="AK26" s="19">
        <f t="shared" si="9"/>
        <v>0</v>
      </c>
      <c r="AL26" s="78" t="e">
        <f t="shared" si="10"/>
        <v>#DIV/0!</v>
      </c>
    </row>
    <row r="27" spans="1:38">
      <c r="A27" t="s">
        <v>133</v>
      </c>
      <c r="B27" t="s">
        <v>130</v>
      </c>
      <c r="C27" s="80" t="s">
        <v>49</v>
      </c>
      <c r="D27" s="81" t="s">
        <v>44</v>
      </c>
      <c r="E27" s="19"/>
      <c r="F27" s="74"/>
      <c r="G27" s="19"/>
      <c r="H27" s="74"/>
      <c r="I27" s="19">
        <v>100.5</v>
      </c>
      <c r="J27" s="74">
        <v>2524583.6000000006</v>
      </c>
      <c r="K27" s="19"/>
      <c r="L27" s="74"/>
      <c r="M27" s="19"/>
      <c r="N27" s="74"/>
      <c r="O27" s="19">
        <v>53</v>
      </c>
      <c r="P27" s="74">
        <v>1387539.7800000003</v>
      </c>
      <c r="Q27" s="19"/>
      <c r="R27" s="74"/>
      <c r="S27" s="19"/>
      <c r="T27" s="74"/>
      <c r="U27" s="19"/>
      <c r="V27" s="74"/>
      <c r="W27" s="19"/>
      <c r="X27" s="74"/>
      <c r="Y27" s="19"/>
      <c r="Z27" s="74"/>
      <c r="AA27" s="19"/>
      <c r="AB27" s="74"/>
      <c r="AC27" s="49">
        <f t="shared" si="11"/>
        <v>153.5</v>
      </c>
      <c r="AD27" s="73">
        <f t="shared" si="12"/>
        <v>3912123.3800000008</v>
      </c>
      <c r="AE27" s="19">
        <f t="shared" si="3"/>
        <v>100.5</v>
      </c>
      <c r="AF27" s="78">
        <f t="shared" si="4"/>
        <v>1786.5191303361428</v>
      </c>
      <c r="AG27" s="19">
        <f t="shared" si="5"/>
        <v>53</v>
      </c>
      <c r="AH27" t="e">
        <f t="shared" si="6"/>
        <v>#DIV/0!</v>
      </c>
      <c r="AI27" s="19">
        <f t="shared" si="7"/>
        <v>0</v>
      </c>
      <c r="AJ27" s="78" t="e">
        <f t="shared" si="8"/>
        <v>#DIV/0!</v>
      </c>
      <c r="AK27" s="19">
        <f t="shared" si="9"/>
        <v>0</v>
      </c>
      <c r="AL27" s="78" t="e">
        <f t="shared" si="10"/>
        <v>#DIV/0!</v>
      </c>
    </row>
    <row r="28" spans="1:38">
      <c r="A28" t="s">
        <v>157</v>
      </c>
      <c r="B28" t="s">
        <v>41</v>
      </c>
      <c r="C28" s="80" t="s">
        <v>49</v>
      </c>
      <c r="D28" s="81" t="s">
        <v>44</v>
      </c>
      <c r="E28" s="19"/>
      <c r="F28" s="74"/>
      <c r="G28" s="19"/>
      <c r="H28" s="74"/>
      <c r="I28" s="19"/>
      <c r="J28" s="74"/>
      <c r="K28" s="19"/>
      <c r="L28" s="74"/>
      <c r="M28" s="19">
        <v>114</v>
      </c>
      <c r="N28" s="74">
        <v>2836238.91</v>
      </c>
      <c r="O28" s="19"/>
      <c r="P28" s="74"/>
      <c r="Q28" s="19"/>
      <c r="R28" s="74"/>
      <c r="S28" s="19"/>
      <c r="T28" s="74"/>
      <c r="U28" s="19"/>
      <c r="V28" s="74"/>
      <c r="W28" s="19"/>
      <c r="X28" s="74"/>
      <c r="Y28" s="19"/>
      <c r="Z28" s="74"/>
      <c r="AA28" s="19"/>
      <c r="AB28" s="74"/>
      <c r="AC28" s="49">
        <f t="shared" ref="AC28" si="13">AA28+Y28+W28+U28+S28+Q28+O28+M28+K28+I28+G28+E28</f>
        <v>114</v>
      </c>
      <c r="AD28" s="73">
        <f t="shared" ref="AD28" si="14">AB28+Z28+X28+V28+T28+R28+P28+N28+L28+J28+H28+F28</f>
        <v>2836238.91</v>
      </c>
      <c r="AE28" s="19">
        <f t="shared" si="3"/>
        <v>0</v>
      </c>
      <c r="AF28" s="78">
        <f t="shared" si="4"/>
        <v>0</v>
      </c>
      <c r="AG28" s="19">
        <f t="shared" si="5"/>
        <v>114</v>
      </c>
      <c r="AH28" t="e">
        <f t="shared" si="6"/>
        <v>#DIV/0!</v>
      </c>
      <c r="AI28" s="19">
        <f t="shared" si="7"/>
        <v>0</v>
      </c>
      <c r="AJ28" s="78" t="e">
        <f t="shared" si="8"/>
        <v>#DIV/0!</v>
      </c>
      <c r="AK28" s="19">
        <f t="shared" si="9"/>
        <v>0</v>
      </c>
      <c r="AL28" s="78" t="e">
        <f t="shared" si="10"/>
        <v>#DIV/0!</v>
      </c>
    </row>
    <row r="29" spans="1:38">
      <c r="A29" t="s">
        <v>71</v>
      </c>
      <c r="B29" t="s">
        <v>41</v>
      </c>
      <c r="C29" s="80" t="s">
        <v>49</v>
      </c>
      <c r="D29" s="81" t="s">
        <v>44</v>
      </c>
      <c r="E29" s="19">
        <v>26</v>
      </c>
      <c r="F29" s="74">
        <v>646566.29999999981</v>
      </c>
      <c r="G29" s="19"/>
      <c r="H29" s="74"/>
      <c r="I29" s="19"/>
      <c r="J29" s="74"/>
      <c r="K29" s="19">
        <v>17</v>
      </c>
      <c r="L29" s="74">
        <v>440832.24000000005</v>
      </c>
      <c r="M29" s="19"/>
      <c r="N29" s="74"/>
      <c r="O29" s="19">
        <v>6.5</v>
      </c>
      <c r="P29" s="74">
        <v>169684.63999999998</v>
      </c>
      <c r="Q29" s="19">
        <v>-1</v>
      </c>
      <c r="R29" s="74">
        <v>-22262.9</v>
      </c>
      <c r="S29" s="19"/>
      <c r="T29" s="74"/>
      <c r="U29" s="19"/>
      <c r="V29" s="74"/>
      <c r="W29" s="19"/>
      <c r="X29" s="74"/>
      <c r="Y29" s="19"/>
      <c r="Z29" s="74"/>
      <c r="AA29" s="19"/>
      <c r="AB29" s="74"/>
      <c r="AC29" s="49">
        <f t="shared" ref="AC29:AC48" si="15">AA29+Y29+W29+U29+S29+Q29+O29+M29+K29+I29+G29+E29</f>
        <v>48.5</v>
      </c>
      <c r="AD29" s="73">
        <f t="shared" ref="AD29:AD48" si="16">AB29+Z29+X29+V29+T29+R29+P29+N29+L29+J29+H29+F29</f>
        <v>1234820.2799999998</v>
      </c>
      <c r="AE29" s="19">
        <f t="shared" si="3"/>
        <v>26</v>
      </c>
      <c r="AF29" s="78">
        <f t="shared" si="4"/>
        <v>457.54201365352168</v>
      </c>
      <c r="AG29" s="19">
        <f t="shared" si="5"/>
        <v>23.5</v>
      </c>
      <c r="AH29" t="e">
        <f t="shared" si="6"/>
        <v>#DIV/0!</v>
      </c>
      <c r="AI29" s="19">
        <f t="shared" si="7"/>
        <v>-1</v>
      </c>
      <c r="AJ29" s="78" t="e">
        <f t="shared" si="8"/>
        <v>#DIV/0!</v>
      </c>
      <c r="AK29" s="19">
        <f t="shared" si="9"/>
        <v>0</v>
      </c>
      <c r="AL29" s="78" t="e">
        <f t="shared" si="10"/>
        <v>#DIV/0!</v>
      </c>
    </row>
    <row r="30" spans="1:38">
      <c r="A30" t="s">
        <v>107</v>
      </c>
      <c r="B30" t="s">
        <v>41</v>
      </c>
      <c r="C30" s="80" t="s">
        <v>49</v>
      </c>
      <c r="D30" s="81" t="s">
        <v>44</v>
      </c>
      <c r="E30" s="19"/>
      <c r="F30" s="74"/>
      <c r="G30" s="19">
        <v>55</v>
      </c>
      <c r="H30" s="74">
        <v>1719005.1799999997</v>
      </c>
      <c r="I30" s="19"/>
      <c r="J30" s="74"/>
      <c r="K30" s="19"/>
      <c r="L30" s="74"/>
      <c r="M30" s="19">
        <v>62</v>
      </c>
      <c r="N30" s="74">
        <v>1961800.7399999998</v>
      </c>
      <c r="O30" s="19">
        <v>64</v>
      </c>
      <c r="P30" s="74">
        <v>1764499.9900000002</v>
      </c>
      <c r="Q30" s="19"/>
      <c r="R30" s="74"/>
      <c r="S30" s="19"/>
      <c r="T30" s="74"/>
      <c r="U30" s="19"/>
      <c r="V30" s="74"/>
      <c r="W30" s="19"/>
      <c r="X30" s="74"/>
      <c r="Y30" s="19"/>
      <c r="Z30" s="74"/>
      <c r="AA30" s="19"/>
      <c r="AB30" s="74"/>
      <c r="AC30" s="49">
        <f t="shared" si="15"/>
        <v>181</v>
      </c>
      <c r="AD30" s="73">
        <f t="shared" si="16"/>
        <v>5445305.9100000001</v>
      </c>
      <c r="AE30" s="19">
        <f t="shared" si="3"/>
        <v>55</v>
      </c>
      <c r="AF30" s="78">
        <f t="shared" si="4"/>
        <v>1216.4523445438381</v>
      </c>
      <c r="AG30" s="19">
        <f t="shared" si="5"/>
        <v>126</v>
      </c>
      <c r="AH30" t="e">
        <f t="shared" si="6"/>
        <v>#DIV/0!</v>
      </c>
      <c r="AI30" s="19">
        <f t="shared" si="7"/>
        <v>0</v>
      </c>
      <c r="AJ30" s="78" t="e">
        <f t="shared" si="8"/>
        <v>#DIV/0!</v>
      </c>
      <c r="AK30" s="19">
        <f t="shared" si="9"/>
        <v>0</v>
      </c>
      <c r="AL30" s="78" t="e">
        <f t="shared" si="10"/>
        <v>#DIV/0!</v>
      </c>
    </row>
    <row r="31" spans="1:38">
      <c r="A31" t="s">
        <v>134</v>
      </c>
      <c r="B31" t="s">
        <v>41</v>
      </c>
      <c r="C31" s="80" t="s">
        <v>49</v>
      </c>
      <c r="D31" s="81" t="s">
        <v>44</v>
      </c>
      <c r="E31" s="19"/>
      <c r="F31" s="74"/>
      <c r="G31" s="19"/>
      <c r="H31" s="74"/>
      <c r="I31" s="19">
        <v>25</v>
      </c>
      <c r="J31" s="74">
        <v>671406.43000000017</v>
      </c>
      <c r="K31" s="19"/>
      <c r="L31" s="74"/>
      <c r="M31" s="19">
        <v>112</v>
      </c>
      <c r="N31" s="74">
        <v>2969277.57</v>
      </c>
      <c r="O31" s="19"/>
      <c r="P31" s="74"/>
      <c r="Q31" s="19"/>
      <c r="R31" s="74"/>
      <c r="S31" s="19"/>
      <c r="T31" s="74"/>
      <c r="U31" s="19"/>
      <c r="V31" s="74"/>
      <c r="W31" s="19"/>
      <c r="X31" s="74"/>
      <c r="Y31" s="19"/>
      <c r="Z31" s="74"/>
      <c r="AA31" s="19"/>
      <c r="AB31" s="74"/>
      <c r="AC31" s="49">
        <f t="shared" si="15"/>
        <v>137</v>
      </c>
      <c r="AD31" s="73">
        <f t="shared" si="16"/>
        <v>3640684</v>
      </c>
      <c r="AE31" s="19">
        <f t="shared" si="3"/>
        <v>25</v>
      </c>
      <c r="AF31" s="78">
        <f t="shared" si="4"/>
        <v>475.12010750037922</v>
      </c>
      <c r="AG31" s="19">
        <f t="shared" si="5"/>
        <v>112</v>
      </c>
      <c r="AH31" t="e">
        <f t="shared" si="6"/>
        <v>#DIV/0!</v>
      </c>
      <c r="AI31" s="19">
        <f t="shared" si="7"/>
        <v>0</v>
      </c>
      <c r="AJ31" s="78" t="e">
        <f t="shared" si="8"/>
        <v>#DIV/0!</v>
      </c>
      <c r="AK31" s="19">
        <f t="shared" si="9"/>
        <v>0</v>
      </c>
      <c r="AL31" s="78" t="e">
        <f t="shared" si="10"/>
        <v>#DIV/0!</v>
      </c>
    </row>
    <row r="32" spans="1:38">
      <c r="A32" t="s">
        <v>135</v>
      </c>
      <c r="B32" t="s">
        <v>41</v>
      </c>
      <c r="C32" s="80" t="s">
        <v>49</v>
      </c>
      <c r="D32" s="81" t="s">
        <v>44</v>
      </c>
      <c r="E32" s="19"/>
      <c r="F32" s="74"/>
      <c r="G32" s="19"/>
      <c r="H32" s="74"/>
      <c r="I32" s="19">
        <v>30</v>
      </c>
      <c r="J32" s="74">
        <v>1061457.0000000002</v>
      </c>
      <c r="K32" s="19"/>
      <c r="L32" s="74"/>
      <c r="M32" s="19"/>
      <c r="N32" s="74"/>
      <c r="O32" s="19"/>
      <c r="P32" s="74"/>
      <c r="Q32" s="19"/>
      <c r="R32" s="74"/>
      <c r="S32" s="19"/>
      <c r="T32" s="74"/>
      <c r="U32" s="19"/>
      <c r="V32" s="74"/>
      <c r="W32" s="19"/>
      <c r="X32" s="74"/>
      <c r="Y32" s="19"/>
      <c r="Z32" s="74"/>
      <c r="AA32" s="19"/>
      <c r="AB32" s="74"/>
      <c r="AC32" s="49">
        <f t="shared" si="15"/>
        <v>30</v>
      </c>
      <c r="AD32" s="73">
        <f t="shared" si="16"/>
        <v>1061457.0000000002</v>
      </c>
      <c r="AE32" s="19">
        <f t="shared" si="3"/>
        <v>30</v>
      </c>
      <c r="AF32" s="78">
        <f t="shared" si="4"/>
        <v>751.13901418404646</v>
      </c>
      <c r="AG32" s="19">
        <f t="shared" si="5"/>
        <v>0</v>
      </c>
      <c r="AH32" t="e">
        <f t="shared" si="6"/>
        <v>#DIV/0!</v>
      </c>
      <c r="AI32" s="19">
        <f t="shared" si="7"/>
        <v>0</v>
      </c>
      <c r="AJ32" s="78" t="e">
        <f t="shared" si="8"/>
        <v>#DIV/0!</v>
      </c>
      <c r="AK32" s="19">
        <f t="shared" si="9"/>
        <v>0</v>
      </c>
      <c r="AL32" s="78" t="e">
        <f t="shared" si="10"/>
        <v>#DIV/0!</v>
      </c>
    </row>
    <row r="33" spans="1:38">
      <c r="A33" t="s">
        <v>56</v>
      </c>
      <c r="B33" t="s">
        <v>41</v>
      </c>
      <c r="C33" s="80" t="s">
        <v>49</v>
      </c>
      <c r="D33" s="81" t="s">
        <v>44</v>
      </c>
      <c r="E33" s="19">
        <v>48.5</v>
      </c>
      <c r="F33" s="74">
        <v>1128643.2000000002</v>
      </c>
      <c r="G33" s="19"/>
      <c r="H33" s="74"/>
      <c r="I33" s="19"/>
      <c r="J33" s="74"/>
      <c r="K33" s="19"/>
      <c r="L33" s="74"/>
      <c r="M33" s="19"/>
      <c r="N33" s="74"/>
      <c r="O33" s="19"/>
      <c r="P33" s="74"/>
      <c r="Q33" s="19"/>
      <c r="R33" s="74"/>
      <c r="S33" s="19"/>
      <c r="T33" s="74"/>
      <c r="U33" s="19"/>
      <c r="V33" s="74"/>
      <c r="W33" s="19"/>
      <c r="X33" s="74"/>
      <c r="Y33" s="19"/>
      <c r="Z33" s="74"/>
      <c r="AA33" s="19"/>
      <c r="AB33" s="74"/>
      <c r="AC33" s="49">
        <f t="shared" si="15"/>
        <v>48.5</v>
      </c>
      <c r="AD33" s="73">
        <f t="shared" si="16"/>
        <v>1128643.2000000002</v>
      </c>
      <c r="AE33" s="19">
        <f t="shared" si="3"/>
        <v>48.5</v>
      </c>
      <c r="AF33" s="78">
        <f t="shared" si="4"/>
        <v>798.68326330084733</v>
      </c>
      <c r="AG33" s="19">
        <f t="shared" si="5"/>
        <v>0</v>
      </c>
      <c r="AH33" t="e">
        <f t="shared" si="6"/>
        <v>#DIV/0!</v>
      </c>
      <c r="AI33" s="19">
        <f t="shared" si="7"/>
        <v>0</v>
      </c>
      <c r="AJ33" s="78" t="e">
        <f t="shared" si="8"/>
        <v>#DIV/0!</v>
      </c>
      <c r="AK33" s="19">
        <f t="shared" si="9"/>
        <v>0</v>
      </c>
      <c r="AL33" s="78" t="e">
        <f t="shared" si="10"/>
        <v>#DIV/0!</v>
      </c>
    </row>
    <row r="34" spans="1:38">
      <c r="A34" t="s">
        <v>170</v>
      </c>
      <c r="B34" t="s">
        <v>41</v>
      </c>
      <c r="C34" s="80" t="s">
        <v>49</v>
      </c>
      <c r="D34" s="81" t="s">
        <v>44</v>
      </c>
      <c r="E34" s="19"/>
      <c r="F34" s="74"/>
      <c r="G34" s="19"/>
      <c r="H34" s="74"/>
      <c r="I34" s="19"/>
      <c r="J34" s="74"/>
      <c r="K34" s="19"/>
      <c r="L34" s="74"/>
      <c r="M34" s="19"/>
      <c r="N34" s="74"/>
      <c r="O34" s="19"/>
      <c r="P34" s="74"/>
      <c r="Q34" s="19">
        <v>652</v>
      </c>
      <c r="R34" s="74">
        <v>18418571.5</v>
      </c>
      <c r="S34" s="19"/>
      <c r="T34" s="74"/>
      <c r="U34" s="19"/>
      <c r="V34" s="74"/>
      <c r="W34" s="19"/>
      <c r="X34" s="74"/>
      <c r="Y34" s="19"/>
      <c r="Z34" s="74"/>
      <c r="AA34" s="19"/>
      <c r="AB34" s="74"/>
      <c r="AC34" s="49">
        <f t="shared" si="15"/>
        <v>652</v>
      </c>
      <c r="AD34" s="73">
        <f t="shared" si="16"/>
        <v>18418571.5</v>
      </c>
      <c r="AE34" s="19">
        <f t="shared" si="3"/>
        <v>0</v>
      </c>
      <c r="AF34" s="78">
        <f t="shared" si="4"/>
        <v>0</v>
      </c>
      <c r="AG34" s="19">
        <f t="shared" si="5"/>
        <v>0</v>
      </c>
      <c r="AH34" t="e">
        <f t="shared" si="6"/>
        <v>#DIV/0!</v>
      </c>
      <c r="AI34" s="19">
        <f t="shared" si="7"/>
        <v>652</v>
      </c>
      <c r="AJ34" s="78" t="e">
        <f t="shared" si="8"/>
        <v>#DIV/0!</v>
      </c>
      <c r="AK34" s="19">
        <f t="shared" si="9"/>
        <v>0</v>
      </c>
      <c r="AL34" s="78" t="e">
        <f t="shared" si="10"/>
        <v>#DIV/0!</v>
      </c>
    </row>
    <row r="35" spans="1:38">
      <c r="A35" t="s">
        <v>52</v>
      </c>
      <c r="B35" t="s">
        <v>41</v>
      </c>
      <c r="C35" s="80" t="s">
        <v>49</v>
      </c>
      <c r="D35" s="81" t="s">
        <v>44</v>
      </c>
      <c r="E35" s="19">
        <v>208.5</v>
      </c>
      <c r="F35" s="74">
        <v>4397474.34</v>
      </c>
      <c r="G35" s="19"/>
      <c r="H35" s="74"/>
      <c r="I35" s="19"/>
      <c r="J35" s="74"/>
      <c r="K35" s="19"/>
      <c r="L35" s="74"/>
      <c r="M35" s="19"/>
      <c r="N35" s="74"/>
      <c r="O35" s="19">
        <v>140</v>
      </c>
      <c r="P35" s="74">
        <v>3633494.3000000003</v>
      </c>
      <c r="Q35" s="19">
        <v>45</v>
      </c>
      <c r="R35" s="74">
        <v>1215149.76</v>
      </c>
      <c r="S35" s="19"/>
      <c r="T35" s="74"/>
      <c r="U35" s="19"/>
      <c r="V35" s="74"/>
      <c r="W35" s="19"/>
      <c r="X35" s="74"/>
      <c r="Y35" s="19"/>
      <c r="Z35" s="74"/>
      <c r="AA35" s="19"/>
      <c r="AB35" s="74"/>
      <c r="AC35" s="49">
        <f t="shared" si="15"/>
        <v>393.5</v>
      </c>
      <c r="AD35" s="73">
        <f t="shared" si="16"/>
        <v>9246118.4000000004</v>
      </c>
      <c r="AE35" s="19">
        <f t="shared" si="3"/>
        <v>208.5</v>
      </c>
      <c r="AF35" s="78">
        <f t="shared" si="4"/>
        <v>3111.8684418184057</v>
      </c>
      <c r="AG35" s="19">
        <f t="shared" si="5"/>
        <v>140</v>
      </c>
      <c r="AH35" t="e">
        <f t="shared" si="6"/>
        <v>#DIV/0!</v>
      </c>
      <c r="AI35" s="19">
        <f t="shared" si="7"/>
        <v>45</v>
      </c>
      <c r="AJ35" s="78" t="e">
        <f t="shared" si="8"/>
        <v>#DIV/0!</v>
      </c>
      <c r="AK35" s="19">
        <f t="shared" si="9"/>
        <v>0</v>
      </c>
      <c r="AL35" s="78" t="e">
        <f t="shared" si="10"/>
        <v>#DIV/0!</v>
      </c>
    </row>
    <row r="36" spans="1:38">
      <c r="A36" t="s">
        <v>162</v>
      </c>
      <c r="B36" t="s">
        <v>41</v>
      </c>
      <c r="C36" s="80" t="s">
        <v>49</v>
      </c>
      <c r="D36" s="81" t="s">
        <v>44</v>
      </c>
      <c r="E36" s="19"/>
      <c r="F36" s="74"/>
      <c r="G36" s="19"/>
      <c r="H36" s="74"/>
      <c r="I36" s="19"/>
      <c r="J36" s="74"/>
      <c r="K36" s="19"/>
      <c r="L36" s="74"/>
      <c r="M36" s="19"/>
      <c r="N36" s="74"/>
      <c r="O36" s="19">
        <v>46</v>
      </c>
      <c r="P36" s="74">
        <v>1306060.2</v>
      </c>
      <c r="Q36" s="19"/>
      <c r="R36" s="74"/>
      <c r="S36" s="19"/>
      <c r="T36" s="74"/>
      <c r="U36" s="19"/>
      <c r="V36" s="74"/>
      <c r="W36" s="19"/>
      <c r="X36" s="74"/>
      <c r="Y36" s="19"/>
      <c r="Z36" s="74"/>
      <c r="AA36" s="19"/>
      <c r="AB36" s="74"/>
      <c r="AC36" s="49">
        <f t="shared" si="15"/>
        <v>46</v>
      </c>
      <c r="AD36" s="73">
        <f t="shared" si="16"/>
        <v>1306060.2</v>
      </c>
      <c r="AE36" s="19">
        <f t="shared" si="3"/>
        <v>0</v>
      </c>
      <c r="AF36" s="78">
        <f t="shared" si="4"/>
        <v>0</v>
      </c>
      <c r="AG36" s="19">
        <f t="shared" si="5"/>
        <v>46</v>
      </c>
      <c r="AH36" t="e">
        <f t="shared" si="6"/>
        <v>#DIV/0!</v>
      </c>
      <c r="AI36" s="19">
        <f t="shared" si="7"/>
        <v>0</v>
      </c>
      <c r="AJ36" s="78" t="e">
        <f t="shared" si="8"/>
        <v>#DIV/0!</v>
      </c>
      <c r="AK36" s="19">
        <f t="shared" si="9"/>
        <v>0</v>
      </c>
      <c r="AL36" s="78" t="e">
        <f t="shared" si="10"/>
        <v>#DIV/0!</v>
      </c>
    </row>
    <row r="37" spans="1:38">
      <c r="A37" t="s">
        <v>108</v>
      </c>
      <c r="B37" t="s">
        <v>41</v>
      </c>
      <c r="C37" s="80" t="s">
        <v>49</v>
      </c>
      <c r="D37" s="81" t="s">
        <v>44</v>
      </c>
      <c r="E37" s="19"/>
      <c r="F37" s="74"/>
      <c r="G37" s="19">
        <v>748.83299999999997</v>
      </c>
      <c r="H37" s="74">
        <v>18970197.280000001</v>
      </c>
      <c r="I37" s="19">
        <v>854</v>
      </c>
      <c r="J37" s="74">
        <v>19100316.309999999</v>
      </c>
      <c r="K37" s="19"/>
      <c r="L37" s="74"/>
      <c r="M37" s="19">
        <v>914</v>
      </c>
      <c r="N37" s="74">
        <v>21088768.68</v>
      </c>
      <c r="O37" s="19">
        <v>95.5</v>
      </c>
      <c r="P37" s="74">
        <v>2325962.02</v>
      </c>
      <c r="Q37" s="19"/>
      <c r="R37" s="74"/>
      <c r="S37" s="19"/>
      <c r="T37" s="74"/>
      <c r="U37" s="19"/>
      <c r="V37" s="74"/>
      <c r="W37" s="19"/>
      <c r="X37" s="74"/>
      <c r="Y37" s="19"/>
      <c r="Z37" s="74"/>
      <c r="AA37" s="19"/>
      <c r="AB37" s="74"/>
      <c r="AC37" s="49">
        <f t="shared" si="15"/>
        <v>2612.3330000000001</v>
      </c>
      <c r="AD37" s="73">
        <f t="shared" si="16"/>
        <v>61485244.289999999</v>
      </c>
      <c r="AE37" s="19">
        <f t="shared" si="3"/>
        <v>1602.8330000000001</v>
      </c>
      <c r="AF37" s="78">
        <f t="shared" si="4"/>
        <v>26940.561932770652</v>
      </c>
      <c r="AG37" s="19">
        <f t="shared" si="5"/>
        <v>1009.5</v>
      </c>
      <c r="AH37" t="e">
        <f t="shared" si="6"/>
        <v>#DIV/0!</v>
      </c>
      <c r="AI37" s="19">
        <f t="shared" si="7"/>
        <v>0</v>
      </c>
      <c r="AJ37" s="78" t="e">
        <f t="shared" si="8"/>
        <v>#DIV/0!</v>
      </c>
      <c r="AK37" s="19">
        <f t="shared" si="9"/>
        <v>0</v>
      </c>
      <c r="AL37" s="78" t="e">
        <f t="shared" si="10"/>
        <v>#DIV/0!</v>
      </c>
    </row>
    <row r="38" spans="1:38">
      <c r="A38" t="s">
        <v>57</v>
      </c>
      <c r="B38" t="s">
        <v>41</v>
      </c>
      <c r="C38" s="80" t="s">
        <v>49</v>
      </c>
      <c r="D38" s="81" t="s">
        <v>44</v>
      </c>
      <c r="E38" s="19">
        <v>7.5</v>
      </c>
      <c r="F38" s="74">
        <v>208442.40000000002</v>
      </c>
      <c r="G38" s="19"/>
      <c r="H38" s="74"/>
      <c r="I38" s="19"/>
      <c r="J38" s="74"/>
      <c r="K38" s="19"/>
      <c r="L38" s="74"/>
      <c r="M38" s="19"/>
      <c r="N38" s="74"/>
      <c r="O38" s="19"/>
      <c r="P38" s="74"/>
      <c r="Q38" s="19"/>
      <c r="R38" s="74"/>
      <c r="S38" s="19"/>
      <c r="T38" s="74"/>
      <c r="U38" s="19"/>
      <c r="V38" s="74"/>
      <c r="W38" s="19"/>
      <c r="X38" s="74"/>
      <c r="Y38" s="19"/>
      <c r="Z38" s="74"/>
      <c r="AA38" s="19"/>
      <c r="AB38" s="74"/>
      <c r="AC38" s="49">
        <f t="shared" si="15"/>
        <v>7.5</v>
      </c>
      <c r="AD38" s="73">
        <f t="shared" si="16"/>
        <v>208442.40000000002</v>
      </c>
      <c r="AE38" s="19">
        <f t="shared" si="3"/>
        <v>7.5</v>
      </c>
      <c r="AF38" s="78">
        <f t="shared" si="4"/>
        <v>147.50406172850776</v>
      </c>
      <c r="AG38" s="19">
        <f t="shared" si="5"/>
        <v>0</v>
      </c>
      <c r="AH38" t="e">
        <f t="shared" si="6"/>
        <v>#DIV/0!</v>
      </c>
      <c r="AI38" s="19">
        <f t="shared" si="7"/>
        <v>0</v>
      </c>
      <c r="AJ38" s="78" t="e">
        <f t="shared" si="8"/>
        <v>#DIV/0!</v>
      </c>
      <c r="AK38" s="19">
        <f t="shared" si="9"/>
        <v>0</v>
      </c>
      <c r="AL38" s="78" t="e">
        <f t="shared" si="10"/>
        <v>#DIV/0!</v>
      </c>
    </row>
    <row r="39" spans="1:38">
      <c r="A39" t="s">
        <v>151</v>
      </c>
      <c r="B39" t="s">
        <v>41</v>
      </c>
      <c r="C39" s="80" t="s">
        <v>49</v>
      </c>
      <c r="D39" s="81" t="s">
        <v>44</v>
      </c>
      <c r="E39" s="19"/>
      <c r="F39" s="74"/>
      <c r="G39" s="19"/>
      <c r="H39" s="74"/>
      <c r="I39" s="19"/>
      <c r="J39" s="74"/>
      <c r="K39" s="19">
        <v>46</v>
      </c>
      <c r="L39" s="74">
        <v>1167914.3999999999</v>
      </c>
      <c r="M39" s="19"/>
      <c r="N39" s="74"/>
      <c r="O39" s="19"/>
      <c r="P39" s="74"/>
      <c r="Q39" s="19"/>
      <c r="R39" s="74"/>
      <c r="S39" s="19"/>
      <c r="T39" s="74"/>
      <c r="U39" s="19"/>
      <c r="V39" s="74"/>
      <c r="W39" s="19"/>
      <c r="X39" s="74"/>
      <c r="Y39" s="19"/>
      <c r="Z39" s="74"/>
      <c r="AA39" s="19"/>
      <c r="AB39" s="74"/>
      <c r="AC39" s="49">
        <f t="shared" si="15"/>
        <v>46</v>
      </c>
      <c r="AD39" s="73">
        <f t="shared" si="16"/>
        <v>1167914.3999999999</v>
      </c>
      <c r="AE39" s="19">
        <f t="shared" si="3"/>
        <v>0</v>
      </c>
      <c r="AF39" s="78">
        <f t="shared" si="4"/>
        <v>0</v>
      </c>
      <c r="AG39" s="19">
        <f t="shared" si="5"/>
        <v>46</v>
      </c>
      <c r="AH39" t="e">
        <f t="shared" si="6"/>
        <v>#DIV/0!</v>
      </c>
      <c r="AI39" s="19">
        <f t="shared" si="7"/>
        <v>0</v>
      </c>
      <c r="AJ39" s="78" t="e">
        <f t="shared" si="8"/>
        <v>#DIV/0!</v>
      </c>
      <c r="AK39" s="19">
        <f t="shared" si="9"/>
        <v>0</v>
      </c>
      <c r="AL39" s="78" t="e">
        <f t="shared" si="10"/>
        <v>#DIV/0!</v>
      </c>
    </row>
    <row r="40" spans="1:38">
      <c r="A40" t="s">
        <v>158</v>
      </c>
      <c r="B40" t="s">
        <v>41</v>
      </c>
      <c r="C40" s="80" t="s">
        <v>49</v>
      </c>
      <c r="D40" s="81" t="s">
        <v>44</v>
      </c>
      <c r="E40" s="19"/>
      <c r="F40" s="74"/>
      <c r="G40" s="19"/>
      <c r="H40" s="74"/>
      <c r="I40" s="19"/>
      <c r="J40" s="74"/>
      <c r="K40" s="19"/>
      <c r="L40" s="74"/>
      <c r="M40" s="19">
        <v>47</v>
      </c>
      <c r="N40" s="74">
        <v>1199544.49</v>
      </c>
      <c r="O40" s="19">
        <v>8</v>
      </c>
      <c r="P40" s="74">
        <v>214060.97</v>
      </c>
      <c r="Q40" s="19"/>
      <c r="R40" s="74"/>
      <c r="S40" s="19"/>
      <c r="T40" s="74"/>
      <c r="U40" s="19"/>
      <c r="V40" s="74"/>
      <c r="W40" s="19"/>
      <c r="X40" s="74"/>
      <c r="Y40" s="19"/>
      <c r="Z40" s="74"/>
      <c r="AA40" s="19"/>
      <c r="AB40" s="74"/>
      <c r="AC40" s="49">
        <f t="shared" si="15"/>
        <v>55</v>
      </c>
      <c r="AD40" s="73">
        <f t="shared" si="16"/>
        <v>1413605.46</v>
      </c>
      <c r="AE40" s="19">
        <f t="shared" si="3"/>
        <v>0</v>
      </c>
      <c r="AF40" s="78">
        <f t="shared" si="4"/>
        <v>0</v>
      </c>
      <c r="AG40" s="19">
        <f t="shared" si="5"/>
        <v>55</v>
      </c>
      <c r="AH40" t="e">
        <f t="shared" si="6"/>
        <v>#DIV/0!</v>
      </c>
      <c r="AI40" s="19">
        <f t="shared" si="7"/>
        <v>0</v>
      </c>
      <c r="AJ40" s="78" t="e">
        <f t="shared" si="8"/>
        <v>#DIV/0!</v>
      </c>
      <c r="AK40" s="19">
        <f t="shared" si="9"/>
        <v>0</v>
      </c>
      <c r="AL40" s="78" t="e">
        <f t="shared" si="10"/>
        <v>#DIV/0!</v>
      </c>
    </row>
    <row r="41" spans="1:38">
      <c r="A41" t="s">
        <v>46</v>
      </c>
      <c r="B41" t="s">
        <v>41</v>
      </c>
      <c r="C41" s="80" t="s">
        <v>49</v>
      </c>
      <c r="D41" s="81" t="s">
        <v>44</v>
      </c>
      <c r="E41" s="19">
        <v>890.83299999999974</v>
      </c>
      <c r="F41" s="74">
        <v>20088898.099999994</v>
      </c>
      <c r="G41" s="19">
        <v>431.74900000000014</v>
      </c>
      <c r="H41" s="74">
        <v>10331569.290000003</v>
      </c>
      <c r="I41" s="19">
        <v>568.33399999999995</v>
      </c>
      <c r="J41" s="74">
        <v>14326008.209999999</v>
      </c>
      <c r="K41" s="19">
        <v>649.99799999999993</v>
      </c>
      <c r="L41" s="74">
        <v>16517670.119999999</v>
      </c>
      <c r="M41" s="19">
        <v>537.08299999999986</v>
      </c>
      <c r="N41" s="74">
        <v>13449883.119999999</v>
      </c>
      <c r="O41" s="19">
        <v>816.58300000000008</v>
      </c>
      <c r="P41" s="74">
        <v>21632415.670000006</v>
      </c>
      <c r="Q41" s="19">
        <v>667.33</v>
      </c>
      <c r="R41" s="74">
        <v>17882960.430000007</v>
      </c>
      <c r="S41" s="19"/>
      <c r="T41" s="74"/>
      <c r="U41" s="19"/>
      <c r="V41" s="74"/>
      <c r="W41" s="19"/>
      <c r="X41" s="74"/>
      <c r="Y41" s="19"/>
      <c r="Z41" s="74"/>
      <c r="AA41" s="19"/>
      <c r="AB41" s="74"/>
      <c r="AC41" s="49">
        <f t="shared" si="15"/>
        <v>4561.91</v>
      </c>
      <c r="AD41" s="73">
        <f t="shared" si="16"/>
        <v>114229404.94</v>
      </c>
      <c r="AE41" s="19">
        <f t="shared" si="3"/>
        <v>1890.9159999999997</v>
      </c>
      <c r="AF41" s="78">
        <f t="shared" si="4"/>
        <v>31664.799959296022</v>
      </c>
      <c r="AG41" s="19">
        <f t="shared" si="5"/>
        <v>2003.6639999999998</v>
      </c>
      <c r="AH41" t="e">
        <f t="shared" si="6"/>
        <v>#DIV/0!</v>
      </c>
      <c r="AI41" s="19">
        <f t="shared" si="7"/>
        <v>667.33</v>
      </c>
      <c r="AJ41" s="78" t="e">
        <f t="shared" si="8"/>
        <v>#DIV/0!</v>
      </c>
      <c r="AK41" s="19">
        <f t="shared" si="9"/>
        <v>0</v>
      </c>
      <c r="AL41" s="78" t="e">
        <f t="shared" si="10"/>
        <v>#DIV/0!</v>
      </c>
    </row>
    <row r="42" spans="1:38">
      <c r="A42" t="s">
        <v>91</v>
      </c>
      <c r="B42" t="s">
        <v>41</v>
      </c>
      <c r="C42" s="80" t="s">
        <v>49</v>
      </c>
      <c r="D42" s="81" t="s">
        <v>44</v>
      </c>
      <c r="E42" s="19">
        <v>29</v>
      </c>
      <c r="F42" s="74">
        <v>888539.99999999988</v>
      </c>
      <c r="G42" s="19"/>
      <c r="H42" s="74"/>
      <c r="I42" s="19"/>
      <c r="J42" s="74"/>
      <c r="K42" s="19"/>
      <c r="L42" s="74"/>
      <c r="M42" s="19"/>
      <c r="N42" s="74"/>
      <c r="O42" s="19">
        <v>24.5</v>
      </c>
      <c r="P42" s="74">
        <v>772256.39999999991</v>
      </c>
      <c r="Q42" s="19"/>
      <c r="R42" s="74"/>
      <c r="S42" s="19"/>
      <c r="T42" s="74"/>
      <c r="U42" s="19"/>
      <c r="V42" s="74"/>
      <c r="W42" s="19"/>
      <c r="X42" s="74"/>
      <c r="Y42" s="19"/>
      <c r="Z42" s="74"/>
      <c r="AA42" s="19"/>
      <c r="AB42" s="74"/>
      <c r="AC42" s="49">
        <f t="shared" si="15"/>
        <v>53.5</v>
      </c>
      <c r="AD42" s="73">
        <f t="shared" si="16"/>
        <v>1660796.4</v>
      </c>
      <c r="AE42" s="19">
        <f t="shared" si="3"/>
        <v>29</v>
      </c>
      <c r="AF42" s="78">
        <f t="shared" si="4"/>
        <v>628.77446723050707</v>
      </c>
      <c r="AG42" s="19">
        <f t="shared" si="5"/>
        <v>24.5</v>
      </c>
      <c r="AH42" t="e">
        <f t="shared" si="6"/>
        <v>#DIV/0!</v>
      </c>
      <c r="AI42" s="19">
        <f t="shared" si="7"/>
        <v>0</v>
      </c>
      <c r="AJ42" s="78" t="e">
        <f t="shared" si="8"/>
        <v>#DIV/0!</v>
      </c>
      <c r="AK42" s="19">
        <f t="shared" si="9"/>
        <v>0</v>
      </c>
      <c r="AL42" s="78" t="e">
        <f t="shared" si="10"/>
        <v>#DIV/0!</v>
      </c>
    </row>
    <row r="43" spans="1:38">
      <c r="A43" t="s">
        <v>75</v>
      </c>
      <c r="B43" t="s">
        <v>41</v>
      </c>
      <c r="C43" s="80" t="s">
        <v>49</v>
      </c>
      <c r="D43" s="81" t="s">
        <v>44</v>
      </c>
      <c r="E43" s="19">
        <v>59</v>
      </c>
      <c r="F43" s="74">
        <v>1448445.35</v>
      </c>
      <c r="G43" s="19"/>
      <c r="H43" s="74"/>
      <c r="I43" s="19"/>
      <c r="J43" s="74"/>
      <c r="K43" s="19"/>
      <c r="L43" s="74"/>
      <c r="M43" s="19"/>
      <c r="N43" s="74"/>
      <c r="O43" s="19"/>
      <c r="P43" s="74"/>
      <c r="Q43" s="19"/>
      <c r="R43" s="74"/>
      <c r="S43" s="19"/>
      <c r="T43" s="74"/>
      <c r="U43" s="19"/>
      <c r="V43" s="74"/>
      <c r="W43" s="19"/>
      <c r="X43" s="74"/>
      <c r="Y43" s="19"/>
      <c r="Z43" s="74"/>
      <c r="AA43" s="19"/>
      <c r="AB43" s="74"/>
      <c r="AC43" s="49">
        <f t="shared" si="15"/>
        <v>59</v>
      </c>
      <c r="AD43" s="73">
        <f t="shared" si="16"/>
        <v>1448445.35</v>
      </c>
      <c r="AE43" s="19">
        <f t="shared" si="3"/>
        <v>59</v>
      </c>
      <c r="AF43" s="78">
        <f t="shared" si="4"/>
        <v>1024.9909438615657</v>
      </c>
      <c r="AG43" s="19">
        <f t="shared" si="5"/>
        <v>0</v>
      </c>
      <c r="AH43" t="e">
        <f t="shared" si="6"/>
        <v>#DIV/0!</v>
      </c>
      <c r="AI43" s="19">
        <f t="shared" si="7"/>
        <v>0</v>
      </c>
      <c r="AJ43" s="78" t="e">
        <f t="shared" si="8"/>
        <v>#DIV/0!</v>
      </c>
      <c r="AK43" s="19">
        <f t="shared" si="9"/>
        <v>0</v>
      </c>
      <c r="AL43" s="78" t="e">
        <f t="shared" si="10"/>
        <v>#DIV/0!</v>
      </c>
    </row>
    <row r="44" spans="1:38">
      <c r="A44" t="s">
        <v>109</v>
      </c>
      <c r="B44" t="s">
        <v>41</v>
      </c>
      <c r="C44" s="80" t="s">
        <v>49</v>
      </c>
      <c r="D44" s="81" t="s">
        <v>44</v>
      </c>
      <c r="E44" s="19"/>
      <c r="F44" s="74"/>
      <c r="G44" s="19">
        <v>167.5</v>
      </c>
      <c r="H44" s="74">
        <v>4563806.1100000003</v>
      </c>
      <c r="I44" s="19">
        <v>38</v>
      </c>
      <c r="J44" s="74">
        <v>1028636.73</v>
      </c>
      <c r="K44" s="19"/>
      <c r="L44" s="74"/>
      <c r="M44" s="19"/>
      <c r="N44" s="74"/>
      <c r="O44" s="19"/>
      <c r="P44" s="74"/>
      <c r="Q44" s="19">
        <v>202</v>
      </c>
      <c r="R44" s="74">
        <v>5431938.0399999991</v>
      </c>
      <c r="S44" s="19"/>
      <c r="T44" s="74"/>
      <c r="U44" s="19"/>
      <c r="V44" s="74"/>
      <c r="W44" s="19"/>
      <c r="X44" s="74"/>
      <c r="Y44" s="19"/>
      <c r="Z44" s="74"/>
      <c r="AA44" s="19"/>
      <c r="AB44" s="74"/>
      <c r="AC44" s="49">
        <f t="shared" ref="AC44:AC45" si="17">AA44+Y44+W44+U44+S44+Q44+O44+M44+K44+I44+G44+E44</f>
        <v>407.5</v>
      </c>
      <c r="AD44" s="73">
        <f t="shared" ref="AD44:AD45" si="18">AB44+Z44+X44+V44+T44+R44+P44+N44+L44+J44+H44+F44</f>
        <v>11024380.879999999</v>
      </c>
      <c r="AE44" s="19">
        <f t="shared" si="3"/>
        <v>205.5</v>
      </c>
      <c r="AF44" s="78">
        <f t="shared" si="4"/>
        <v>3957.4867391879538</v>
      </c>
      <c r="AG44" s="19">
        <f t="shared" si="5"/>
        <v>0</v>
      </c>
      <c r="AH44" t="e">
        <f t="shared" si="6"/>
        <v>#DIV/0!</v>
      </c>
      <c r="AI44" s="19">
        <f t="shared" si="7"/>
        <v>202</v>
      </c>
      <c r="AJ44" s="78" t="e">
        <f t="shared" si="8"/>
        <v>#DIV/0!</v>
      </c>
      <c r="AK44" s="19">
        <f t="shared" si="9"/>
        <v>0</v>
      </c>
      <c r="AL44" s="78" t="e">
        <f t="shared" si="10"/>
        <v>#DIV/0!</v>
      </c>
    </row>
    <row r="45" spans="1:38">
      <c r="A45" t="s">
        <v>110</v>
      </c>
      <c r="B45" t="s">
        <v>41</v>
      </c>
      <c r="C45" s="80" t="s">
        <v>49</v>
      </c>
      <c r="D45" s="81" t="s">
        <v>44</v>
      </c>
      <c r="E45" s="19"/>
      <c r="F45" s="74"/>
      <c r="G45" s="19">
        <v>93.5</v>
      </c>
      <c r="H45" s="74">
        <v>2440420.8000000003</v>
      </c>
      <c r="I45" s="19"/>
      <c r="J45" s="74"/>
      <c r="K45" s="19"/>
      <c r="L45" s="74"/>
      <c r="M45" s="19"/>
      <c r="N45" s="74"/>
      <c r="O45" s="19"/>
      <c r="P45" s="74"/>
      <c r="Q45" s="19">
        <v>93.5</v>
      </c>
      <c r="R45" s="74">
        <v>2828123.6899999995</v>
      </c>
      <c r="S45" s="19"/>
      <c r="T45" s="74"/>
      <c r="U45" s="19"/>
      <c r="V45" s="74"/>
      <c r="W45" s="19"/>
      <c r="X45" s="74"/>
      <c r="Y45" s="19"/>
      <c r="Z45" s="74"/>
      <c r="AA45" s="19"/>
      <c r="AB45" s="74"/>
      <c r="AC45" s="49">
        <f t="shared" si="17"/>
        <v>187</v>
      </c>
      <c r="AD45" s="73">
        <f t="shared" si="18"/>
        <v>5268544.49</v>
      </c>
      <c r="AE45" s="19">
        <f t="shared" si="3"/>
        <v>93.5</v>
      </c>
      <c r="AF45" s="78">
        <f t="shared" si="4"/>
        <v>1726.961406732672</v>
      </c>
      <c r="AG45" s="19">
        <f t="shared" si="5"/>
        <v>0</v>
      </c>
      <c r="AH45" t="e">
        <f t="shared" si="6"/>
        <v>#DIV/0!</v>
      </c>
      <c r="AI45" s="19">
        <f t="shared" si="7"/>
        <v>93.5</v>
      </c>
      <c r="AJ45" s="78" t="e">
        <f t="shared" si="8"/>
        <v>#DIV/0!</v>
      </c>
      <c r="AK45" s="19">
        <f t="shared" si="9"/>
        <v>0</v>
      </c>
      <c r="AL45" s="78" t="e">
        <f t="shared" si="10"/>
        <v>#DIV/0!</v>
      </c>
    </row>
    <row r="46" spans="1:38">
      <c r="A46" t="s">
        <v>111</v>
      </c>
      <c r="B46" t="s">
        <v>41</v>
      </c>
      <c r="C46" s="80" t="s">
        <v>49</v>
      </c>
      <c r="D46" s="81" t="s">
        <v>44</v>
      </c>
      <c r="E46" s="19"/>
      <c r="F46" s="74"/>
      <c r="G46" s="19">
        <v>21</v>
      </c>
      <c r="H46" s="74">
        <v>593920.62</v>
      </c>
      <c r="I46" s="19"/>
      <c r="J46" s="74"/>
      <c r="K46" s="19"/>
      <c r="L46" s="74"/>
      <c r="M46" s="19"/>
      <c r="N46" s="74"/>
      <c r="O46" s="19">
        <v>30</v>
      </c>
      <c r="P46" s="74">
        <v>958701.24</v>
      </c>
      <c r="Q46" s="19"/>
      <c r="R46" s="74"/>
      <c r="S46" s="19"/>
      <c r="T46" s="74"/>
      <c r="U46" s="19"/>
      <c r="V46" s="74"/>
      <c r="W46" s="19"/>
      <c r="X46" s="74"/>
      <c r="Y46" s="19"/>
      <c r="Z46" s="74"/>
      <c r="AA46" s="19"/>
      <c r="AB46" s="74"/>
      <c r="AC46" s="49">
        <f t="shared" si="15"/>
        <v>51</v>
      </c>
      <c r="AD46" s="73">
        <f t="shared" si="16"/>
        <v>1552621.8599999999</v>
      </c>
      <c r="AE46" s="19">
        <f t="shared" si="3"/>
        <v>21</v>
      </c>
      <c r="AF46" s="78">
        <f t="shared" si="4"/>
        <v>420.28734937955807</v>
      </c>
      <c r="AG46" s="19">
        <f t="shared" si="5"/>
        <v>30</v>
      </c>
      <c r="AH46" t="e">
        <f t="shared" si="6"/>
        <v>#DIV/0!</v>
      </c>
      <c r="AI46" s="19">
        <f t="shared" si="7"/>
        <v>0</v>
      </c>
      <c r="AJ46" s="78" t="e">
        <f t="shared" si="8"/>
        <v>#DIV/0!</v>
      </c>
      <c r="AK46" s="19">
        <f t="shared" si="9"/>
        <v>0</v>
      </c>
      <c r="AL46" s="78" t="e">
        <f t="shared" si="10"/>
        <v>#DIV/0!</v>
      </c>
    </row>
    <row r="47" spans="1:38">
      <c r="A47" t="s">
        <v>92</v>
      </c>
      <c r="B47" t="s">
        <v>41</v>
      </c>
      <c r="C47" s="80" t="s">
        <v>49</v>
      </c>
      <c r="D47" s="81" t="s">
        <v>44</v>
      </c>
      <c r="E47" s="19">
        <v>285.25</v>
      </c>
      <c r="F47" s="74">
        <v>7011661.7999999998</v>
      </c>
      <c r="G47" s="19">
        <v>23.75</v>
      </c>
      <c r="H47" s="74">
        <v>679851.06</v>
      </c>
      <c r="I47" s="19"/>
      <c r="J47" s="74"/>
      <c r="K47" s="19">
        <v>653.5</v>
      </c>
      <c r="L47" s="74">
        <v>15613973.870000001</v>
      </c>
      <c r="M47" s="19">
        <v>-1</v>
      </c>
      <c r="N47" s="74">
        <v>-160433.07999999996</v>
      </c>
      <c r="O47" s="19">
        <v>325.25</v>
      </c>
      <c r="P47" s="74">
        <v>9808567.5599999987</v>
      </c>
      <c r="Q47" s="19"/>
      <c r="R47" s="74"/>
      <c r="S47" s="19"/>
      <c r="T47" s="74"/>
      <c r="U47" s="19"/>
      <c r="V47" s="74"/>
      <c r="W47" s="19"/>
      <c r="X47" s="74"/>
      <c r="Y47" s="19"/>
      <c r="Z47" s="74"/>
      <c r="AA47" s="19"/>
      <c r="AB47" s="74"/>
      <c r="AC47" s="49">
        <f t="shared" si="15"/>
        <v>1286.75</v>
      </c>
      <c r="AD47" s="73">
        <f t="shared" si="16"/>
        <v>32953621.210000001</v>
      </c>
      <c r="AE47" s="19">
        <f t="shared" si="3"/>
        <v>309</v>
      </c>
      <c r="AF47" s="78">
        <f t="shared" si="4"/>
        <v>5442.8915982883091</v>
      </c>
      <c r="AG47" s="19">
        <f t="shared" si="5"/>
        <v>977.75</v>
      </c>
      <c r="AH47" t="e">
        <f t="shared" si="6"/>
        <v>#DIV/0!</v>
      </c>
      <c r="AI47" s="19">
        <f t="shared" si="7"/>
        <v>0</v>
      </c>
      <c r="AJ47" s="78" t="e">
        <f t="shared" si="8"/>
        <v>#DIV/0!</v>
      </c>
      <c r="AK47" s="19">
        <f t="shared" si="9"/>
        <v>0</v>
      </c>
      <c r="AL47" s="78" t="e">
        <f t="shared" si="10"/>
        <v>#DIV/0!</v>
      </c>
    </row>
    <row r="48" spans="1:38">
      <c r="A48" t="s">
        <v>93</v>
      </c>
      <c r="B48" t="s">
        <v>41</v>
      </c>
      <c r="C48" s="80" t="s">
        <v>49</v>
      </c>
      <c r="D48" s="81" t="s">
        <v>44</v>
      </c>
      <c r="E48" s="19">
        <v>17</v>
      </c>
      <c r="F48" s="74">
        <v>516577.19999999995</v>
      </c>
      <c r="G48" s="19"/>
      <c r="H48" s="74"/>
      <c r="I48" s="19"/>
      <c r="J48" s="74"/>
      <c r="K48" s="19">
        <v>42.5</v>
      </c>
      <c r="L48" s="74">
        <v>1173454.2</v>
      </c>
      <c r="M48" s="19"/>
      <c r="N48" s="74"/>
      <c r="O48" s="19"/>
      <c r="P48" s="74"/>
      <c r="Q48" s="19"/>
      <c r="R48" s="74"/>
      <c r="S48" s="19"/>
      <c r="T48" s="74"/>
      <c r="U48" s="19"/>
      <c r="V48" s="74"/>
      <c r="W48" s="19"/>
      <c r="X48" s="74"/>
      <c r="Y48" s="19"/>
      <c r="Z48" s="74"/>
      <c r="AA48" s="19"/>
      <c r="AB48" s="74"/>
      <c r="AC48" s="49">
        <f t="shared" si="15"/>
        <v>59.5</v>
      </c>
      <c r="AD48" s="73">
        <f t="shared" si="16"/>
        <v>1690031.4</v>
      </c>
      <c r="AE48" s="19">
        <f t="shared" si="3"/>
        <v>17</v>
      </c>
      <c r="AF48" s="78">
        <f t="shared" si="4"/>
        <v>365.55535340381653</v>
      </c>
      <c r="AG48" s="19">
        <f t="shared" si="5"/>
        <v>42.5</v>
      </c>
      <c r="AH48" t="e">
        <f t="shared" si="6"/>
        <v>#DIV/0!</v>
      </c>
      <c r="AI48" s="19">
        <f t="shared" si="7"/>
        <v>0</v>
      </c>
      <c r="AJ48" s="78" t="e">
        <f t="shared" si="8"/>
        <v>#DIV/0!</v>
      </c>
      <c r="AK48" s="19">
        <f t="shared" si="9"/>
        <v>0</v>
      </c>
      <c r="AL48" s="78" t="e">
        <f t="shared" si="10"/>
        <v>#DIV/0!</v>
      </c>
    </row>
    <row r="49" spans="1:38">
      <c r="A49" t="s">
        <v>136</v>
      </c>
      <c r="B49" t="s">
        <v>41</v>
      </c>
      <c r="C49" s="80" t="s">
        <v>49</v>
      </c>
      <c r="D49" s="81" t="s">
        <v>44</v>
      </c>
      <c r="E49" s="19"/>
      <c r="F49" s="74"/>
      <c r="G49" s="19"/>
      <c r="H49" s="74"/>
      <c r="I49" s="19">
        <v>25</v>
      </c>
      <c r="J49" s="74">
        <v>818118.72</v>
      </c>
      <c r="K49" s="19"/>
      <c r="L49" s="74"/>
      <c r="M49" s="19"/>
      <c r="N49" s="74"/>
      <c r="O49" s="19"/>
      <c r="P49" s="74"/>
      <c r="Q49" s="19"/>
      <c r="R49" s="74"/>
      <c r="S49" s="19"/>
      <c r="T49" s="74"/>
      <c r="U49" s="19"/>
      <c r="V49" s="74"/>
      <c r="W49" s="19"/>
      <c r="X49" s="74"/>
      <c r="Y49" s="19"/>
      <c r="Z49" s="74"/>
      <c r="AA49" s="19"/>
      <c r="AB49" s="74"/>
      <c r="AC49" s="49">
        <f t="shared" ref="AC49:AC111" si="19">AA49+Y49+W49+U49+S49+Q49+O49+M49+K49+I49+G49+E49</f>
        <v>25</v>
      </c>
      <c r="AD49" s="73">
        <f t="shared" ref="AD49:AD111" si="20">AB49+Z49+X49+V49+T49+R49+P49+N49+L49+J49+H49+F49</f>
        <v>818118.72</v>
      </c>
      <c r="AE49" s="19">
        <f t="shared" si="3"/>
        <v>25</v>
      </c>
      <c r="AF49" s="78">
        <f t="shared" si="4"/>
        <v>578.94091689659945</v>
      </c>
      <c r="AG49" s="19">
        <f t="shared" si="5"/>
        <v>0</v>
      </c>
      <c r="AH49" t="e">
        <f t="shared" si="6"/>
        <v>#DIV/0!</v>
      </c>
      <c r="AI49" s="19">
        <f t="shared" si="7"/>
        <v>0</v>
      </c>
      <c r="AJ49" s="78" t="e">
        <f t="shared" si="8"/>
        <v>#DIV/0!</v>
      </c>
      <c r="AK49" s="19">
        <f t="shared" si="9"/>
        <v>0</v>
      </c>
      <c r="AL49" s="78" t="e">
        <f t="shared" si="10"/>
        <v>#DIV/0!</v>
      </c>
    </row>
    <row r="50" spans="1:38">
      <c r="A50" t="s">
        <v>67</v>
      </c>
      <c r="B50" t="s">
        <v>41</v>
      </c>
      <c r="C50" s="80" t="s">
        <v>49</v>
      </c>
      <c r="D50" s="81" t="s">
        <v>44</v>
      </c>
      <c r="E50" s="19">
        <v>-1</v>
      </c>
      <c r="F50" s="74">
        <v>-162257.35</v>
      </c>
      <c r="G50" s="19"/>
      <c r="H50" s="74"/>
      <c r="I50" s="19"/>
      <c r="J50" s="74"/>
      <c r="K50" s="19"/>
      <c r="L50" s="74"/>
      <c r="M50" s="19"/>
      <c r="N50" s="74"/>
      <c r="O50" s="19"/>
      <c r="P50" s="74"/>
      <c r="Q50" s="19"/>
      <c r="R50" s="74"/>
      <c r="S50" s="19"/>
      <c r="T50" s="74"/>
      <c r="U50" s="19"/>
      <c r="V50" s="74"/>
      <c r="W50" s="19"/>
      <c r="X50" s="74"/>
      <c r="Y50" s="19"/>
      <c r="Z50" s="74"/>
      <c r="AA50" s="19"/>
      <c r="AB50" s="74"/>
      <c r="AC50" s="49">
        <f t="shared" si="19"/>
        <v>-1</v>
      </c>
      <c r="AD50" s="73">
        <f t="shared" si="20"/>
        <v>-162257.35</v>
      </c>
      <c r="AE50" s="19">
        <f t="shared" si="3"/>
        <v>-1</v>
      </c>
      <c r="AF50" s="78">
        <f t="shared" si="4"/>
        <v>-114.82125599352189</v>
      </c>
      <c r="AG50" s="19">
        <f t="shared" si="5"/>
        <v>0</v>
      </c>
      <c r="AH50" t="e">
        <f t="shared" si="6"/>
        <v>#DIV/0!</v>
      </c>
      <c r="AI50" s="19">
        <f t="shared" si="7"/>
        <v>0</v>
      </c>
      <c r="AJ50" s="78" t="e">
        <f t="shared" si="8"/>
        <v>#DIV/0!</v>
      </c>
      <c r="AK50" s="19">
        <f t="shared" si="9"/>
        <v>0</v>
      </c>
      <c r="AL50" s="78" t="e">
        <f t="shared" si="10"/>
        <v>#DIV/0!</v>
      </c>
    </row>
    <row r="51" spans="1:38">
      <c r="A51" t="s">
        <v>68</v>
      </c>
      <c r="B51" s="79" t="s">
        <v>37</v>
      </c>
      <c r="C51" s="80" t="s">
        <v>49</v>
      </c>
      <c r="D51" s="81" t="s">
        <v>44</v>
      </c>
      <c r="E51" s="19">
        <v>52</v>
      </c>
      <c r="F51" s="74">
        <v>1343889.5999999994</v>
      </c>
      <c r="G51" s="19">
        <v>43</v>
      </c>
      <c r="H51" s="74">
        <v>1284225.6000000001</v>
      </c>
      <c r="I51" s="19"/>
      <c r="J51" s="74"/>
      <c r="K51" s="19"/>
      <c r="L51" s="74"/>
      <c r="M51" s="19">
        <v>80.5</v>
      </c>
      <c r="N51" s="74">
        <v>2236752.6</v>
      </c>
      <c r="O51" s="19"/>
      <c r="P51" s="74"/>
      <c r="Q51" s="19"/>
      <c r="R51" s="74"/>
      <c r="S51" s="19"/>
      <c r="T51" s="74"/>
      <c r="U51" s="19"/>
      <c r="V51" s="74"/>
      <c r="W51" s="19"/>
      <c r="X51" s="74"/>
      <c r="Y51" s="19"/>
      <c r="Z51" s="74"/>
      <c r="AA51" s="19"/>
      <c r="AB51" s="74"/>
      <c r="AC51" s="49">
        <f t="shared" si="19"/>
        <v>175.5</v>
      </c>
      <c r="AD51" s="73">
        <f t="shared" si="20"/>
        <v>4864867.8</v>
      </c>
      <c r="AE51" s="19">
        <f t="shared" si="3"/>
        <v>95</v>
      </c>
      <c r="AF51" s="78">
        <f t="shared" si="4"/>
        <v>1859.7831664307712</v>
      </c>
      <c r="AG51" s="19">
        <f t="shared" si="5"/>
        <v>80.5</v>
      </c>
      <c r="AH51" t="e">
        <f t="shared" si="6"/>
        <v>#DIV/0!</v>
      </c>
      <c r="AI51" s="19">
        <f t="shared" si="7"/>
        <v>0</v>
      </c>
      <c r="AJ51" s="78" t="e">
        <f t="shared" si="8"/>
        <v>#DIV/0!</v>
      </c>
      <c r="AK51" s="19">
        <f t="shared" si="9"/>
        <v>0</v>
      </c>
      <c r="AL51" s="78" t="e">
        <f t="shared" si="10"/>
        <v>#DIV/0!</v>
      </c>
    </row>
    <row r="52" spans="1:38">
      <c r="A52" t="s">
        <v>59</v>
      </c>
      <c r="B52" s="79" t="s">
        <v>37</v>
      </c>
      <c r="C52" s="80" t="s">
        <v>49</v>
      </c>
      <c r="D52" s="81" t="s">
        <v>44</v>
      </c>
      <c r="E52" s="19">
        <v>-6</v>
      </c>
      <c r="F52" s="74">
        <v>-134734.37</v>
      </c>
      <c r="G52" s="19">
        <v>35</v>
      </c>
      <c r="H52" s="74">
        <v>875195.99</v>
      </c>
      <c r="I52" s="19">
        <v>55</v>
      </c>
      <c r="J52" s="74">
        <v>1407915.7199999997</v>
      </c>
      <c r="K52" s="19">
        <v>59.5</v>
      </c>
      <c r="L52" s="74">
        <v>1658434.32</v>
      </c>
      <c r="M52" s="19">
        <v>52.5</v>
      </c>
      <c r="N52" s="74">
        <v>1410479.2299999997</v>
      </c>
      <c r="O52" s="19">
        <v>52</v>
      </c>
      <c r="P52" s="74">
        <v>1336027.69</v>
      </c>
      <c r="Q52" s="19"/>
      <c r="R52" s="74"/>
      <c r="S52" s="19"/>
      <c r="T52" s="74"/>
      <c r="U52" s="19"/>
      <c r="V52" s="74"/>
      <c r="W52" s="19"/>
      <c r="X52" s="74"/>
      <c r="Y52" s="19"/>
      <c r="Z52" s="74"/>
      <c r="AA52" s="19"/>
      <c r="AB52" s="74"/>
      <c r="AC52" s="49">
        <f t="shared" si="19"/>
        <v>248</v>
      </c>
      <c r="AD52" s="73">
        <f t="shared" si="20"/>
        <v>6553318.5800000001</v>
      </c>
      <c r="AE52" s="19">
        <f t="shared" si="3"/>
        <v>84</v>
      </c>
      <c r="AF52" s="78">
        <f t="shared" si="4"/>
        <v>1520.2971361656134</v>
      </c>
      <c r="AG52" s="19">
        <f t="shared" si="5"/>
        <v>164</v>
      </c>
      <c r="AH52" t="e">
        <f t="shared" si="6"/>
        <v>#DIV/0!</v>
      </c>
      <c r="AI52" s="19">
        <f t="shared" si="7"/>
        <v>0</v>
      </c>
      <c r="AJ52" s="78" t="e">
        <f t="shared" si="8"/>
        <v>#DIV/0!</v>
      </c>
      <c r="AK52" s="19">
        <f t="shared" si="9"/>
        <v>0</v>
      </c>
      <c r="AL52" s="78" t="e">
        <f t="shared" si="10"/>
        <v>#DIV/0!</v>
      </c>
    </row>
    <row r="53" spans="1:38">
      <c r="A53" t="s">
        <v>152</v>
      </c>
      <c r="B53" s="79" t="s">
        <v>37</v>
      </c>
      <c r="C53" s="80" t="s">
        <v>49</v>
      </c>
      <c r="D53" s="81" t="s">
        <v>44</v>
      </c>
      <c r="E53" s="19"/>
      <c r="F53" s="74"/>
      <c r="G53" s="19"/>
      <c r="H53" s="74"/>
      <c r="I53" s="19"/>
      <c r="J53" s="74"/>
      <c r="K53" s="19">
        <v>670</v>
      </c>
      <c r="L53" s="74">
        <v>19807884</v>
      </c>
      <c r="M53" s="19"/>
      <c r="N53" s="74"/>
      <c r="O53" s="19">
        <v>513</v>
      </c>
      <c r="P53" s="74">
        <v>15481863.599999998</v>
      </c>
      <c r="Q53" s="19"/>
      <c r="R53" s="74"/>
      <c r="S53" s="19"/>
      <c r="T53" s="74"/>
      <c r="U53" s="19"/>
      <c r="V53" s="74"/>
      <c r="W53" s="19"/>
      <c r="X53" s="74"/>
      <c r="Y53" s="19"/>
      <c r="Z53" s="74"/>
      <c r="AA53" s="19"/>
      <c r="AB53" s="74"/>
      <c r="AC53" s="49">
        <f t="shared" si="19"/>
        <v>1183</v>
      </c>
      <c r="AD53" s="73">
        <f t="shared" si="20"/>
        <v>35289747.599999994</v>
      </c>
      <c r="AE53" s="19">
        <f t="shared" si="3"/>
        <v>0</v>
      </c>
      <c r="AF53" s="78">
        <f t="shared" si="4"/>
        <v>0</v>
      </c>
      <c r="AG53" s="19">
        <f t="shared" si="5"/>
        <v>1183</v>
      </c>
      <c r="AH53" t="e">
        <f t="shared" si="6"/>
        <v>#DIV/0!</v>
      </c>
      <c r="AI53" s="19">
        <f t="shared" si="7"/>
        <v>0</v>
      </c>
      <c r="AJ53" s="78" t="e">
        <f t="shared" si="8"/>
        <v>#DIV/0!</v>
      </c>
      <c r="AK53" s="19">
        <f t="shared" si="9"/>
        <v>0</v>
      </c>
      <c r="AL53" s="78" t="e">
        <f t="shared" si="10"/>
        <v>#DIV/0!</v>
      </c>
    </row>
    <row r="54" spans="1:38">
      <c r="A54" t="s">
        <v>45</v>
      </c>
      <c r="B54" s="79" t="s">
        <v>37</v>
      </c>
      <c r="C54" s="80" t="s">
        <v>49</v>
      </c>
      <c r="D54" s="81" t="s">
        <v>44</v>
      </c>
      <c r="E54" s="19">
        <v>984.5</v>
      </c>
      <c r="F54" s="74">
        <v>16697887.550000001</v>
      </c>
      <c r="G54" s="19"/>
      <c r="H54" s="74"/>
      <c r="I54" s="19">
        <v>311</v>
      </c>
      <c r="J54" s="74">
        <v>7711408.3199999994</v>
      </c>
      <c r="K54" s="19">
        <v>562.5</v>
      </c>
      <c r="L54" s="74">
        <v>12691404</v>
      </c>
      <c r="M54" s="19"/>
      <c r="N54" s="74"/>
      <c r="O54" s="19">
        <v>76</v>
      </c>
      <c r="P54" s="74">
        <v>2415072</v>
      </c>
      <c r="Q54" s="19"/>
      <c r="R54" s="74"/>
      <c r="S54" s="19"/>
      <c r="T54" s="74"/>
      <c r="U54" s="19"/>
      <c r="V54" s="74"/>
      <c r="W54" s="19"/>
      <c r="X54" s="74"/>
      <c r="Y54" s="19"/>
      <c r="Z54" s="74"/>
      <c r="AA54" s="19"/>
      <c r="AB54" s="74"/>
      <c r="AC54" s="49">
        <f t="shared" si="19"/>
        <v>1934</v>
      </c>
      <c r="AD54" s="73">
        <f t="shared" si="20"/>
        <v>39515771.870000005</v>
      </c>
      <c r="AE54" s="19">
        <f t="shared" si="3"/>
        <v>1295.5</v>
      </c>
      <c r="AF54" s="78">
        <f t="shared" si="4"/>
        <v>17273.214493586187</v>
      </c>
      <c r="AG54" s="19">
        <f t="shared" si="5"/>
        <v>638.5</v>
      </c>
      <c r="AH54" t="e">
        <f t="shared" si="6"/>
        <v>#DIV/0!</v>
      </c>
      <c r="AI54" s="19">
        <f t="shared" si="7"/>
        <v>0</v>
      </c>
      <c r="AJ54" s="78" t="e">
        <f t="shared" si="8"/>
        <v>#DIV/0!</v>
      </c>
      <c r="AK54" s="19">
        <f t="shared" si="9"/>
        <v>0</v>
      </c>
      <c r="AL54" s="78" t="e">
        <f t="shared" si="10"/>
        <v>#DIV/0!</v>
      </c>
    </row>
    <row r="55" spans="1:38">
      <c r="A55" t="s">
        <v>60</v>
      </c>
      <c r="B55" s="79" t="s">
        <v>37</v>
      </c>
      <c r="C55" s="80" t="s">
        <v>49</v>
      </c>
      <c r="D55" s="81" t="s">
        <v>44</v>
      </c>
      <c r="E55" s="19">
        <v>-11</v>
      </c>
      <c r="F55" s="74">
        <v>-44828.409999999989</v>
      </c>
      <c r="G55" s="19">
        <v>68.5</v>
      </c>
      <c r="H55" s="74">
        <v>1803213.4400000002</v>
      </c>
      <c r="I55" s="19">
        <v>71</v>
      </c>
      <c r="J55" s="74">
        <v>2101400.2599999988</v>
      </c>
      <c r="K55" s="19"/>
      <c r="L55" s="74"/>
      <c r="M55" s="19">
        <v>77</v>
      </c>
      <c r="N55" s="74">
        <v>2089836.0800000005</v>
      </c>
      <c r="O55" s="19">
        <v>83</v>
      </c>
      <c r="P55" s="74">
        <v>2262479.3000000007</v>
      </c>
      <c r="Q55" s="19"/>
      <c r="R55" s="74"/>
      <c r="S55" s="19"/>
      <c r="T55" s="74"/>
      <c r="U55" s="19"/>
      <c r="V55" s="74"/>
      <c r="W55" s="19"/>
      <c r="X55" s="74"/>
      <c r="Y55" s="19"/>
      <c r="Z55" s="74"/>
      <c r="AA55" s="19"/>
      <c r="AB55" s="74"/>
      <c r="AC55" s="49">
        <f t="shared" si="19"/>
        <v>288.5</v>
      </c>
      <c r="AD55" s="73">
        <f t="shared" si="20"/>
        <v>8212100.6699999999</v>
      </c>
      <c r="AE55" s="19">
        <f t="shared" si="3"/>
        <v>128.5</v>
      </c>
      <c r="AF55" s="78">
        <f t="shared" si="4"/>
        <v>2731.3733082853873</v>
      </c>
      <c r="AG55" s="19">
        <f t="shared" si="5"/>
        <v>160</v>
      </c>
      <c r="AH55" t="e">
        <f t="shared" si="6"/>
        <v>#DIV/0!</v>
      </c>
      <c r="AI55" s="19">
        <f t="shared" si="7"/>
        <v>0</v>
      </c>
      <c r="AJ55" s="78" t="e">
        <f t="shared" si="8"/>
        <v>#DIV/0!</v>
      </c>
      <c r="AK55" s="19">
        <f t="shared" si="9"/>
        <v>0</v>
      </c>
      <c r="AL55" s="78" t="e">
        <f t="shared" si="10"/>
        <v>#DIV/0!</v>
      </c>
    </row>
    <row r="56" spans="1:38">
      <c r="A56" t="s">
        <v>94</v>
      </c>
      <c r="B56" s="79" t="s">
        <v>37</v>
      </c>
      <c r="C56" s="80" t="s">
        <v>49</v>
      </c>
      <c r="D56" s="81" t="s">
        <v>44</v>
      </c>
      <c r="E56" s="19">
        <v>108</v>
      </c>
      <c r="F56" s="74">
        <v>2963690.4799999991</v>
      </c>
      <c r="G56" s="19"/>
      <c r="H56" s="74"/>
      <c r="I56" s="19"/>
      <c r="J56" s="74"/>
      <c r="K56" s="19"/>
      <c r="L56" s="74"/>
      <c r="M56" s="19"/>
      <c r="N56" s="74"/>
      <c r="O56" s="19"/>
      <c r="P56" s="74"/>
      <c r="Q56" s="19"/>
      <c r="R56" s="74"/>
      <c r="S56" s="19"/>
      <c r="T56" s="74"/>
      <c r="U56" s="19"/>
      <c r="V56" s="74"/>
      <c r="W56" s="19"/>
      <c r="X56" s="74"/>
      <c r="Y56" s="19"/>
      <c r="Z56" s="74"/>
      <c r="AA56" s="19"/>
      <c r="AB56" s="74"/>
      <c r="AC56" s="49">
        <f t="shared" si="19"/>
        <v>108</v>
      </c>
      <c r="AD56" s="73">
        <f t="shared" si="20"/>
        <v>2963690.4799999991</v>
      </c>
      <c r="AE56" s="19">
        <f t="shared" si="3"/>
        <v>108</v>
      </c>
      <c r="AF56" s="78">
        <f t="shared" si="4"/>
        <v>2097.2526871025789</v>
      </c>
      <c r="AG56" s="19">
        <f t="shared" si="5"/>
        <v>0</v>
      </c>
      <c r="AH56" t="e">
        <f t="shared" si="6"/>
        <v>#DIV/0!</v>
      </c>
      <c r="AI56" s="19">
        <f t="shared" si="7"/>
        <v>0</v>
      </c>
      <c r="AJ56" s="78" t="e">
        <f t="shared" si="8"/>
        <v>#DIV/0!</v>
      </c>
      <c r="AK56" s="19">
        <f t="shared" si="9"/>
        <v>0</v>
      </c>
      <c r="AL56" s="78" t="e">
        <f t="shared" si="10"/>
        <v>#DIV/0!</v>
      </c>
    </row>
    <row r="57" spans="1:38">
      <c r="A57" t="s">
        <v>137</v>
      </c>
      <c r="B57" s="79" t="s">
        <v>37</v>
      </c>
      <c r="C57" s="80" t="s">
        <v>49</v>
      </c>
      <c r="D57" s="81" t="s">
        <v>44</v>
      </c>
      <c r="E57" s="19"/>
      <c r="F57" s="74"/>
      <c r="G57" s="19"/>
      <c r="H57" s="74"/>
      <c r="I57" s="19">
        <v>501</v>
      </c>
      <c r="J57" s="74">
        <v>12690236.020000001</v>
      </c>
      <c r="K57" s="19"/>
      <c r="L57" s="74"/>
      <c r="M57" s="19"/>
      <c r="N57" s="74"/>
      <c r="O57" s="19">
        <v>512</v>
      </c>
      <c r="P57" s="74">
        <v>15194366.599999998</v>
      </c>
      <c r="Q57" s="19">
        <v>-6</v>
      </c>
      <c r="R57" s="74">
        <v>-1255933.02</v>
      </c>
      <c r="S57" s="19"/>
      <c r="T57" s="74"/>
      <c r="U57" s="19"/>
      <c r="V57" s="74"/>
      <c r="W57" s="19"/>
      <c r="X57" s="74"/>
      <c r="Y57" s="19"/>
      <c r="Z57" s="74"/>
      <c r="AA57" s="19"/>
      <c r="AB57" s="74"/>
      <c r="AC57" s="49">
        <f t="shared" si="19"/>
        <v>1007</v>
      </c>
      <c r="AD57" s="73">
        <f t="shared" si="20"/>
        <v>26628669.600000001</v>
      </c>
      <c r="AE57" s="19">
        <f t="shared" si="3"/>
        <v>501</v>
      </c>
      <c r="AF57" s="78">
        <f t="shared" si="4"/>
        <v>8980.2331830923686</v>
      </c>
      <c r="AG57" s="19">
        <f t="shared" si="5"/>
        <v>512</v>
      </c>
      <c r="AH57" t="e">
        <f t="shared" si="6"/>
        <v>#DIV/0!</v>
      </c>
      <c r="AI57" s="19">
        <f t="shared" si="7"/>
        <v>-6</v>
      </c>
      <c r="AJ57" s="78" t="e">
        <f t="shared" si="8"/>
        <v>#DIV/0!</v>
      </c>
      <c r="AK57" s="19">
        <f t="shared" si="9"/>
        <v>0</v>
      </c>
      <c r="AL57" s="78" t="e">
        <f t="shared" si="10"/>
        <v>#DIV/0!</v>
      </c>
    </row>
    <row r="58" spans="1:38">
      <c r="A58" t="s">
        <v>112</v>
      </c>
      <c r="B58" s="79" t="s">
        <v>37</v>
      </c>
      <c r="C58" s="80" t="s">
        <v>49</v>
      </c>
      <c r="D58" s="81" t="s">
        <v>44</v>
      </c>
      <c r="E58" s="19"/>
      <c r="F58" s="74"/>
      <c r="G58" s="19">
        <v>16</v>
      </c>
      <c r="H58" s="74">
        <v>566113.19999999995</v>
      </c>
      <c r="I58" s="19"/>
      <c r="J58" s="74"/>
      <c r="K58" s="19"/>
      <c r="L58" s="74"/>
      <c r="M58" s="19"/>
      <c r="N58" s="74"/>
      <c r="O58" s="19"/>
      <c r="P58" s="74"/>
      <c r="Q58" s="19"/>
      <c r="R58" s="74"/>
      <c r="S58" s="19"/>
      <c r="T58" s="74"/>
      <c r="U58" s="19"/>
      <c r="V58" s="74"/>
      <c r="W58" s="19"/>
      <c r="X58" s="74"/>
      <c r="Y58" s="19"/>
      <c r="Z58" s="74"/>
      <c r="AA58" s="19"/>
      <c r="AB58" s="74"/>
      <c r="AC58" s="49">
        <f t="shared" si="19"/>
        <v>16</v>
      </c>
      <c r="AD58" s="73">
        <f t="shared" si="20"/>
        <v>566113.19999999995</v>
      </c>
      <c r="AE58" s="19">
        <f t="shared" si="3"/>
        <v>16</v>
      </c>
      <c r="AF58" s="78">
        <f t="shared" si="4"/>
        <v>400.60945564876937</v>
      </c>
      <c r="AG58" s="19">
        <f t="shared" si="5"/>
        <v>0</v>
      </c>
      <c r="AH58" t="e">
        <f t="shared" si="6"/>
        <v>#DIV/0!</v>
      </c>
      <c r="AI58" s="19">
        <f t="shared" si="7"/>
        <v>0</v>
      </c>
      <c r="AJ58" s="78" t="e">
        <f t="shared" si="8"/>
        <v>#DIV/0!</v>
      </c>
      <c r="AK58" s="19">
        <f t="shared" si="9"/>
        <v>0</v>
      </c>
      <c r="AL58" s="78" t="e">
        <f t="shared" si="10"/>
        <v>#DIV/0!</v>
      </c>
    </row>
    <row r="59" spans="1:38">
      <c r="A59" t="s">
        <v>53</v>
      </c>
      <c r="B59" s="79" t="s">
        <v>37</v>
      </c>
      <c r="C59" s="80" t="s">
        <v>49</v>
      </c>
      <c r="D59" s="81" t="s">
        <v>44</v>
      </c>
      <c r="E59" s="19">
        <v>-18</v>
      </c>
      <c r="F59" s="74">
        <v>-457197.6</v>
      </c>
      <c r="G59" s="19"/>
      <c r="H59" s="74"/>
      <c r="I59" s="19"/>
      <c r="J59" s="74"/>
      <c r="K59" s="19"/>
      <c r="L59" s="74"/>
      <c r="M59" s="19"/>
      <c r="N59" s="74"/>
      <c r="O59" s="19">
        <v>113.5</v>
      </c>
      <c r="P59" s="74">
        <v>3192990</v>
      </c>
      <c r="Q59" s="19"/>
      <c r="R59" s="74"/>
      <c r="S59" s="19"/>
      <c r="T59" s="74"/>
      <c r="U59" s="19"/>
      <c r="V59" s="74"/>
      <c r="W59" s="19"/>
      <c r="X59" s="74"/>
      <c r="Y59" s="19"/>
      <c r="Z59" s="74"/>
      <c r="AA59" s="19"/>
      <c r="AB59" s="74"/>
      <c r="AC59" s="49">
        <f t="shared" si="19"/>
        <v>95.5</v>
      </c>
      <c r="AD59" s="73">
        <f t="shared" si="20"/>
        <v>2735792.4</v>
      </c>
      <c r="AE59" s="19">
        <f t="shared" si="3"/>
        <v>-18</v>
      </c>
      <c r="AF59" s="78">
        <f t="shared" si="4"/>
        <v>-323.53543718804616</v>
      </c>
      <c r="AG59" s="19">
        <f t="shared" si="5"/>
        <v>113.5</v>
      </c>
      <c r="AH59" t="e">
        <f t="shared" si="6"/>
        <v>#DIV/0!</v>
      </c>
      <c r="AI59" s="19">
        <f t="shared" si="7"/>
        <v>0</v>
      </c>
      <c r="AJ59" s="78" t="e">
        <f t="shared" si="8"/>
        <v>#DIV/0!</v>
      </c>
      <c r="AK59" s="19">
        <f t="shared" si="9"/>
        <v>0</v>
      </c>
      <c r="AL59" s="78" t="e">
        <f t="shared" si="10"/>
        <v>#DIV/0!</v>
      </c>
    </row>
    <row r="60" spans="1:38">
      <c r="A60" t="s">
        <v>95</v>
      </c>
      <c r="B60" s="79" t="s">
        <v>37</v>
      </c>
      <c r="C60" s="80" t="s">
        <v>49</v>
      </c>
      <c r="D60" s="81" t="s">
        <v>44</v>
      </c>
      <c r="E60" s="19">
        <v>49</v>
      </c>
      <c r="F60" s="74">
        <v>622105.80000000005</v>
      </c>
      <c r="G60" s="19"/>
      <c r="H60" s="74"/>
      <c r="I60" s="19"/>
      <c r="J60" s="74"/>
      <c r="K60" s="19"/>
      <c r="L60" s="74"/>
      <c r="M60" s="19"/>
      <c r="N60" s="74"/>
      <c r="O60" s="19"/>
      <c r="P60" s="74"/>
      <c r="Q60" s="19"/>
      <c r="R60" s="74"/>
      <c r="S60" s="19"/>
      <c r="T60" s="74"/>
      <c r="U60" s="19"/>
      <c r="V60" s="74"/>
      <c r="W60" s="19"/>
      <c r="X60" s="74"/>
      <c r="Y60" s="19"/>
      <c r="Z60" s="74"/>
      <c r="AA60" s="19"/>
      <c r="AB60" s="74"/>
      <c r="AC60" s="49">
        <f t="shared" si="19"/>
        <v>49</v>
      </c>
      <c r="AD60" s="73">
        <f t="shared" si="20"/>
        <v>622105.80000000005</v>
      </c>
      <c r="AE60" s="19">
        <f t="shared" si="3"/>
        <v>49</v>
      </c>
      <c r="AF60" s="78">
        <f t="shared" si="4"/>
        <v>440.23256460711787</v>
      </c>
      <c r="AG60" s="19">
        <f t="shared" si="5"/>
        <v>0</v>
      </c>
      <c r="AH60" t="e">
        <f t="shared" si="6"/>
        <v>#DIV/0!</v>
      </c>
      <c r="AI60" s="19">
        <f t="shared" si="7"/>
        <v>0</v>
      </c>
      <c r="AJ60" s="78" t="e">
        <f t="shared" si="8"/>
        <v>#DIV/0!</v>
      </c>
      <c r="AK60" s="19">
        <f t="shared" si="9"/>
        <v>0</v>
      </c>
      <c r="AL60" s="78" t="e">
        <f t="shared" si="10"/>
        <v>#DIV/0!</v>
      </c>
    </row>
    <row r="61" spans="1:38">
      <c r="A61" t="s">
        <v>138</v>
      </c>
      <c r="B61" s="79" t="s">
        <v>37</v>
      </c>
      <c r="C61" s="80" t="s">
        <v>49</v>
      </c>
      <c r="D61" s="81" t="s">
        <v>44</v>
      </c>
      <c r="E61" s="19"/>
      <c r="F61" s="74"/>
      <c r="G61" s="19"/>
      <c r="H61" s="74"/>
      <c r="I61" s="19">
        <v>58.5</v>
      </c>
      <c r="J61" s="74">
        <v>1629521.28</v>
      </c>
      <c r="K61" s="19"/>
      <c r="L61" s="74"/>
      <c r="M61" s="19"/>
      <c r="N61" s="74"/>
      <c r="O61" s="19"/>
      <c r="P61" s="74"/>
      <c r="Q61" s="19"/>
      <c r="R61" s="74"/>
      <c r="S61" s="19"/>
      <c r="T61" s="74"/>
      <c r="U61" s="19"/>
      <c r="V61" s="74"/>
      <c r="W61" s="19"/>
      <c r="X61" s="74"/>
      <c r="Y61" s="19"/>
      <c r="Z61" s="74"/>
      <c r="AA61" s="19"/>
      <c r="AB61" s="74"/>
      <c r="AC61" s="49">
        <f t="shared" si="19"/>
        <v>58.5</v>
      </c>
      <c r="AD61" s="73">
        <f t="shared" si="20"/>
        <v>1629521.28</v>
      </c>
      <c r="AE61" s="19">
        <f t="shared" si="3"/>
        <v>58.5</v>
      </c>
      <c r="AF61" s="78">
        <f t="shared" si="4"/>
        <v>1153.1291496981275</v>
      </c>
      <c r="AG61" s="19">
        <f t="shared" si="5"/>
        <v>0</v>
      </c>
      <c r="AH61" t="e">
        <f t="shared" si="6"/>
        <v>#DIV/0!</v>
      </c>
      <c r="AI61" s="19">
        <f t="shared" si="7"/>
        <v>0</v>
      </c>
      <c r="AJ61" s="78" t="e">
        <f t="shared" si="8"/>
        <v>#DIV/0!</v>
      </c>
      <c r="AK61" s="19">
        <f t="shared" si="9"/>
        <v>0</v>
      </c>
      <c r="AL61" s="78" t="e">
        <f t="shared" si="10"/>
        <v>#DIV/0!</v>
      </c>
    </row>
    <row r="62" spans="1:38">
      <c r="A62" t="s">
        <v>69</v>
      </c>
      <c r="B62" s="79" t="s">
        <v>37</v>
      </c>
      <c r="C62" s="80" t="s">
        <v>49</v>
      </c>
      <c r="D62" s="81" t="s">
        <v>44</v>
      </c>
      <c r="E62" s="19">
        <v>37</v>
      </c>
      <c r="F62" s="74">
        <v>952527.60000000033</v>
      </c>
      <c r="G62" s="19"/>
      <c r="H62" s="74"/>
      <c r="I62" s="19"/>
      <c r="J62" s="74"/>
      <c r="K62" s="19"/>
      <c r="L62" s="74"/>
      <c r="M62" s="19"/>
      <c r="N62" s="74"/>
      <c r="O62" s="19"/>
      <c r="P62" s="74"/>
      <c r="Q62" s="19">
        <v>48</v>
      </c>
      <c r="R62" s="74">
        <v>1407586.7999999996</v>
      </c>
      <c r="S62" s="19"/>
      <c r="T62" s="74"/>
      <c r="U62" s="19"/>
      <c r="V62" s="74"/>
      <c r="W62" s="19"/>
      <c r="X62" s="74"/>
      <c r="Y62" s="19"/>
      <c r="Z62" s="74"/>
      <c r="AA62" s="19"/>
      <c r="AB62" s="74"/>
      <c r="AC62" s="49">
        <f t="shared" si="19"/>
        <v>85</v>
      </c>
      <c r="AD62" s="73">
        <f t="shared" si="20"/>
        <v>2360114.4</v>
      </c>
      <c r="AE62" s="19">
        <f t="shared" si="3"/>
        <v>37</v>
      </c>
      <c r="AF62" s="78">
        <f t="shared" si="4"/>
        <v>674.05523016673851</v>
      </c>
      <c r="AG62" s="19">
        <f t="shared" si="5"/>
        <v>0</v>
      </c>
      <c r="AH62" t="e">
        <f t="shared" si="6"/>
        <v>#DIV/0!</v>
      </c>
      <c r="AI62" s="19">
        <f t="shared" si="7"/>
        <v>48</v>
      </c>
      <c r="AJ62" s="78" t="e">
        <f t="shared" si="8"/>
        <v>#DIV/0!</v>
      </c>
      <c r="AK62" s="19">
        <f t="shared" si="9"/>
        <v>0</v>
      </c>
      <c r="AL62" s="78" t="e">
        <f t="shared" si="10"/>
        <v>#DIV/0!</v>
      </c>
    </row>
    <row r="63" spans="1:38">
      <c r="A63" t="s">
        <v>72</v>
      </c>
      <c r="B63" s="79" t="s">
        <v>37</v>
      </c>
      <c r="C63" s="80" t="s">
        <v>49</v>
      </c>
      <c r="D63" s="81" t="s">
        <v>44</v>
      </c>
      <c r="E63" s="19">
        <v>-33</v>
      </c>
      <c r="F63" s="74">
        <v>-339894.81999999995</v>
      </c>
      <c r="G63" s="19"/>
      <c r="H63" s="74"/>
      <c r="I63" s="19"/>
      <c r="J63" s="74"/>
      <c r="K63" s="19"/>
      <c r="L63" s="74"/>
      <c r="M63" s="19"/>
      <c r="N63" s="74"/>
      <c r="O63" s="19"/>
      <c r="P63" s="74"/>
      <c r="Q63" s="19"/>
      <c r="R63" s="74"/>
      <c r="S63" s="19"/>
      <c r="T63" s="74"/>
      <c r="U63" s="19"/>
      <c r="V63" s="74"/>
      <c r="W63" s="19"/>
      <c r="X63" s="74"/>
      <c r="Y63" s="19"/>
      <c r="Z63" s="74"/>
      <c r="AA63" s="19"/>
      <c r="AB63" s="74"/>
      <c r="AC63" s="49">
        <f t="shared" si="19"/>
        <v>-33</v>
      </c>
      <c r="AD63" s="73">
        <f t="shared" si="20"/>
        <v>-339894.81999999995</v>
      </c>
      <c r="AE63" s="19">
        <f t="shared" si="3"/>
        <v>-33</v>
      </c>
      <c r="AF63" s="78">
        <f t="shared" si="4"/>
        <v>-240.52623895368708</v>
      </c>
      <c r="AG63" s="19">
        <f t="shared" si="5"/>
        <v>0</v>
      </c>
      <c r="AH63" t="e">
        <f t="shared" si="6"/>
        <v>#DIV/0!</v>
      </c>
      <c r="AI63" s="19">
        <f t="shared" si="7"/>
        <v>0</v>
      </c>
      <c r="AJ63" s="78" t="e">
        <f t="shared" si="8"/>
        <v>#DIV/0!</v>
      </c>
      <c r="AK63" s="19">
        <f t="shared" si="9"/>
        <v>0</v>
      </c>
      <c r="AL63" s="78" t="e">
        <f t="shared" si="10"/>
        <v>#DIV/0!</v>
      </c>
    </row>
    <row r="64" spans="1:38">
      <c r="A64" t="s">
        <v>58</v>
      </c>
      <c r="B64" s="79" t="s">
        <v>37</v>
      </c>
      <c r="C64" s="80" t="s">
        <v>49</v>
      </c>
      <c r="D64" s="81" t="s">
        <v>44</v>
      </c>
      <c r="E64" s="19">
        <v>20.5</v>
      </c>
      <c r="F64" s="74">
        <v>517496.4</v>
      </c>
      <c r="G64" s="19">
        <v>42</v>
      </c>
      <c r="H64" s="74">
        <v>1145748</v>
      </c>
      <c r="I64" s="19"/>
      <c r="J64" s="74"/>
      <c r="K64" s="19"/>
      <c r="L64" s="74"/>
      <c r="M64" s="19">
        <v>36</v>
      </c>
      <c r="N64" s="74">
        <v>1445739.5999999999</v>
      </c>
      <c r="O64" s="19">
        <v>26</v>
      </c>
      <c r="P64" s="74">
        <v>742714.8</v>
      </c>
      <c r="Q64" s="19"/>
      <c r="R64" s="74"/>
      <c r="S64" s="19"/>
      <c r="T64" s="74"/>
      <c r="U64" s="19"/>
      <c r="V64" s="74"/>
      <c r="W64" s="19"/>
      <c r="X64" s="74"/>
      <c r="Y64" s="19"/>
      <c r="Z64" s="74"/>
      <c r="AA64" s="19"/>
      <c r="AB64" s="74"/>
      <c r="AC64" s="49">
        <f t="shared" si="19"/>
        <v>124.5</v>
      </c>
      <c r="AD64" s="73">
        <f t="shared" si="20"/>
        <v>3851698.8</v>
      </c>
      <c r="AE64" s="19">
        <f t="shared" si="3"/>
        <v>62.5</v>
      </c>
      <c r="AF64" s="78">
        <f t="shared" si="4"/>
        <v>1176.9932827831326</v>
      </c>
      <c r="AG64" s="19">
        <f t="shared" si="5"/>
        <v>62</v>
      </c>
      <c r="AH64" t="e">
        <f t="shared" si="6"/>
        <v>#DIV/0!</v>
      </c>
      <c r="AI64" s="19">
        <f t="shared" si="7"/>
        <v>0</v>
      </c>
      <c r="AJ64" s="78" t="e">
        <f t="shared" si="8"/>
        <v>#DIV/0!</v>
      </c>
      <c r="AK64" s="19">
        <f t="shared" si="9"/>
        <v>0</v>
      </c>
      <c r="AL64" s="78" t="e">
        <f t="shared" si="10"/>
        <v>#DIV/0!</v>
      </c>
    </row>
    <row r="65" spans="1:38">
      <c r="A65" t="s">
        <v>139</v>
      </c>
      <c r="B65" s="79" t="s">
        <v>37</v>
      </c>
      <c r="C65" s="80" t="s">
        <v>49</v>
      </c>
      <c r="D65" s="81" t="s">
        <v>44</v>
      </c>
      <c r="E65" s="19"/>
      <c r="F65" s="74"/>
      <c r="G65" s="19"/>
      <c r="H65" s="74"/>
      <c r="I65" s="19">
        <v>32</v>
      </c>
      <c r="J65" s="74">
        <v>864542.39999999979</v>
      </c>
      <c r="K65" s="19"/>
      <c r="L65" s="74"/>
      <c r="M65" s="19"/>
      <c r="N65" s="74"/>
      <c r="O65" s="19"/>
      <c r="P65" s="74"/>
      <c r="Q65" s="19"/>
      <c r="R65" s="74"/>
      <c r="S65" s="19"/>
      <c r="T65" s="74"/>
      <c r="U65" s="19"/>
      <c r="V65" s="74"/>
      <c r="W65" s="19"/>
      <c r="X65" s="74"/>
      <c r="Y65" s="19"/>
      <c r="Z65" s="74"/>
      <c r="AA65" s="19"/>
      <c r="AB65" s="74"/>
      <c r="AC65" s="49">
        <f t="shared" si="19"/>
        <v>32</v>
      </c>
      <c r="AD65" s="73">
        <f t="shared" si="20"/>
        <v>864542.39999999979</v>
      </c>
      <c r="AE65" s="19">
        <f t="shared" si="3"/>
        <v>32</v>
      </c>
      <c r="AF65" s="78">
        <f t="shared" si="4"/>
        <v>611.79258891910763</v>
      </c>
      <c r="AG65" s="19">
        <f t="shared" si="5"/>
        <v>0</v>
      </c>
      <c r="AH65" t="e">
        <f t="shared" si="6"/>
        <v>#DIV/0!</v>
      </c>
      <c r="AI65" s="19">
        <f t="shared" si="7"/>
        <v>0</v>
      </c>
      <c r="AJ65" s="78" t="e">
        <f t="shared" si="8"/>
        <v>#DIV/0!</v>
      </c>
      <c r="AK65" s="19">
        <f t="shared" si="9"/>
        <v>0</v>
      </c>
      <c r="AL65" s="78" t="e">
        <f t="shared" si="10"/>
        <v>#DIV/0!</v>
      </c>
    </row>
    <row r="66" spans="1:38">
      <c r="A66" t="s">
        <v>113</v>
      </c>
      <c r="B66" s="79" t="s">
        <v>37</v>
      </c>
      <c r="C66" s="80" t="s">
        <v>49</v>
      </c>
      <c r="D66" s="81" t="s">
        <v>44</v>
      </c>
      <c r="E66" s="19"/>
      <c r="F66" s="74"/>
      <c r="G66" s="19">
        <v>180</v>
      </c>
      <c r="H66" s="74">
        <v>5358997.2</v>
      </c>
      <c r="I66" s="19">
        <v>51</v>
      </c>
      <c r="J66" s="74">
        <v>1338361.2</v>
      </c>
      <c r="K66" s="19"/>
      <c r="L66" s="74"/>
      <c r="M66" s="19"/>
      <c r="N66" s="74"/>
      <c r="O66" s="19"/>
      <c r="P66" s="74"/>
      <c r="Q66" s="19">
        <v>185</v>
      </c>
      <c r="R66" s="74">
        <v>5374971.5999999996</v>
      </c>
      <c r="S66" s="19"/>
      <c r="T66" s="74"/>
      <c r="U66" s="19"/>
      <c r="V66" s="74"/>
      <c r="W66" s="19"/>
      <c r="X66" s="74"/>
      <c r="Y66" s="19"/>
      <c r="Z66" s="74"/>
      <c r="AA66" s="19"/>
      <c r="AB66" s="74"/>
      <c r="AC66" s="49">
        <f t="shared" si="19"/>
        <v>416</v>
      </c>
      <c r="AD66" s="73">
        <f t="shared" si="20"/>
        <v>12072330</v>
      </c>
      <c r="AE66" s="19">
        <f t="shared" si="3"/>
        <v>231</v>
      </c>
      <c r="AF66" s="78">
        <f t="shared" si="4"/>
        <v>4739.3791611089682</v>
      </c>
      <c r="AG66" s="19">
        <f t="shared" si="5"/>
        <v>0</v>
      </c>
      <c r="AH66" t="e">
        <f t="shared" si="6"/>
        <v>#DIV/0!</v>
      </c>
      <c r="AI66" s="19">
        <f t="shared" si="7"/>
        <v>185</v>
      </c>
      <c r="AJ66" s="78" t="e">
        <f t="shared" si="8"/>
        <v>#DIV/0!</v>
      </c>
      <c r="AK66" s="19">
        <f t="shared" si="9"/>
        <v>0</v>
      </c>
      <c r="AL66" s="78" t="e">
        <f t="shared" si="10"/>
        <v>#DIV/0!</v>
      </c>
    </row>
    <row r="67" spans="1:38">
      <c r="A67" t="s">
        <v>114</v>
      </c>
      <c r="B67" s="79" t="s">
        <v>37</v>
      </c>
      <c r="C67" s="80" t="s">
        <v>49</v>
      </c>
      <c r="D67" s="81" t="s">
        <v>44</v>
      </c>
      <c r="E67" s="19"/>
      <c r="F67" s="74"/>
      <c r="G67" s="19">
        <v>42.5</v>
      </c>
      <c r="H67" s="74">
        <v>1194356.9999999998</v>
      </c>
      <c r="I67" s="19"/>
      <c r="J67" s="74"/>
      <c r="K67" s="19"/>
      <c r="L67" s="74"/>
      <c r="M67" s="19">
        <v>50</v>
      </c>
      <c r="N67" s="74">
        <v>1469732.3999999997</v>
      </c>
      <c r="O67" s="19">
        <v>59.5</v>
      </c>
      <c r="P67" s="74">
        <v>1818322.1999999997</v>
      </c>
      <c r="Q67" s="19"/>
      <c r="R67" s="74"/>
      <c r="S67" s="19"/>
      <c r="T67" s="74"/>
      <c r="U67" s="19"/>
      <c r="V67" s="74"/>
      <c r="W67" s="19"/>
      <c r="X67" s="74"/>
      <c r="Y67" s="19"/>
      <c r="Z67" s="74"/>
      <c r="AA67" s="19"/>
      <c r="AB67" s="74"/>
      <c r="AC67" s="49">
        <f t="shared" si="19"/>
        <v>152</v>
      </c>
      <c r="AD67" s="73">
        <f t="shared" si="20"/>
        <v>4482411.5999999996</v>
      </c>
      <c r="AE67" s="19">
        <f t="shared" si="3"/>
        <v>42.5</v>
      </c>
      <c r="AF67" s="78">
        <f t="shared" si="4"/>
        <v>845.18556998900078</v>
      </c>
      <c r="AG67" s="19">
        <f t="shared" si="5"/>
        <v>109.5</v>
      </c>
      <c r="AH67" t="e">
        <f t="shared" si="6"/>
        <v>#DIV/0!</v>
      </c>
      <c r="AI67" s="19">
        <f t="shared" si="7"/>
        <v>0</v>
      </c>
      <c r="AJ67" s="78" t="e">
        <f t="shared" si="8"/>
        <v>#DIV/0!</v>
      </c>
      <c r="AK67" s="19">
        <f t="shared" si="9"/>
        <v>0</v>
      </c>
      <c r="AL67" s="78" t="e">
        <f t="shared" si="10"/>
        <v>#DIV/0!</v>
      </c>
    </row>
    <row r="68" spans="1:38">
      <c r="A68" t="s">
        <v>159</v>
      </c>
      <c r="B68" s="79" t="s">
        <v>37</v>
      </c>
      <c r="C68" s="80" t="s">
        <v>49</v>
      </c>
      <c r="D68" s="81" t="s">
        <v>44</v>
      </c>
      <c r="E68" s="19"/>
      <c r="F68" s="74"/>
      <c r="G68" s="19"/>
      <c r="H68" s="74"/>
      <c r="I68" s="19"/>
      <c r="J68" s="74"/>
      <c r="K68" s="19"/>
      <c r="L68" s="74"/>
      <c r="M68" s="19">
        <v>33.5</v>
      </c>
      <c r="N68" s="74">
        <v>1071763.3700000001</v>
      </c>
      <c r="O68" s="19"/>
      <c r="P68" s="74"/>
      <c r="Q68" s="19"/>
      <c r="R68" s="74"/>
      <c r="S68" s="19"/>
      <c r="T68" s="74"/>
      <c r="U68" s="19"/>
      <c r="V68" s="74"/>
      <c r="W68" s="19"/>
      <c r="X68" s="74"/>
      <c r="Y68" s="19"/>
      <c r="Z68" s="74"/>
      <c r="AA68" s="19"/>
      <c r="AB68" s="74"/>
      <c r="AC68" s="49">
        <f t="shared" si="19"/>
        <v>33.5</v>
      </c>
      <c r="AD68" s="73">
        <f t="shared" si="20"/>
        <v>1071763.3700000001</v>
      </c>
      <c r="AE68" s="19">
        <f t="shared" ref="AE68:AE130" si="21">E68+G68+I68</f>
        <v>0</v>
      </c>
      <c r="AF68" s="78">
        <f t="shared" ref="AF68:AF130" si="22">(F68+H68+J68)/$AF$4</f>
        <v>0</v>
      </c>
      <c r="AG68" s="19">
        <f t="shared" ref="AG68:AG130" si="23">K68+M68+O68</f>
        <v>33.5</v>
      </c>
      <c r="AH68" t="e">
        <f t="shared" ref="AH68:AH130" si="24">(L68+N68+P68)/$AH$4</f>
        <v>#DIV/0!</v>
      </c>
      <c r="AI68" s="19">
        <f t="shared" ref="AI68:AI130" si="25">U68+S68+Q68</f>
        <v>0</v>
      </c>
      <c r="AJ68" s="78" t="e">
        <f t="shared" ref="AJ68:AJ130" si="26">(V68+T68+R68)/$AJ$4</f>
        <v>#DIV/0!</v>
      </c>
      <c r="AK68" s="19">
        <f t="shared" ref="AK68:AK130" si="27">W68+Y68+AA68</f>
        <v>0</v>
      </c>
      <c r="AL68" s="78" t="e">
        <f t="shared" ref="AL68:AL130" si="28">(X68+Z68+AB68)/$AL$4</f>
        <v>#DIV/0!</v>
      </c>
    </row>
    <row r="69" spans="1:38">
      <c r="A69" t="s">
        <v>115</v>
      </c>
      <c r="B69" s="79" t="s">
        <v>37</v>
      </c>
      <c r="C69" s="80" t="s">
        <v>49</v>
      </c>
      <c r="D69" s="81" t="s">
        <v>44</v>
      </c>
      <c r="E69" s="19"/>
      <c r="F69" s="74"/>
      <c r="G69" s="19">
        <v>69.5</v>
      </c>
      <c r="H69" s="74">
        <v>2089385.3999999994</v>
      </c>
      <c r="I69" s="19"/>
      <c r="J69" s="74"/>
      <c r="K69" s="19"/>
      <c r="L69" s="74"/>
      <c r="M69" s="19"/>
      <c r="N69" s="74"/>
      <c r="O69" s="19"/>
      <c r="P69" s="74"/>
      <c r="Q69" s="19"/>
      <c r="R69" s="74"/>
      <c r="S69" s="19"/>
      <c r="T69" s="74"/>
      <c r="U69" s="19"/>
      <c r="V69" s="74"/>
      <c r="W69" s="19"/>
      <c r="X69" s="74"/>
      <c r="Y69" s="19"/>
      <c r="Z69" s="74"/>
      <c r="AA69" s="19"/>
      <c r="AB69" s="74"/>
      <c r="AC69" s="49">
        <f t="shared" si="19"/>
        <v>69.5</v>
      </c>
      <c r="AD69" s="73">
        <f t="shared" si="20"/>
        <v>2089385.3999999994</v>
      </c>
      <c r="AE69" s="19">
        <f t="shared" si="21"/>
        <v>69.5</v>
      </c>
      <c r="AF69" s="78">
        <f t="shared" si="22"/>
        <v>1478.5515471719898</v>
      </c>
      <c r="AG69" s="19">
        <f t="shared" si="23"/>
        <v>0</v>
      </c>
      <c r="AH69" t="e">
        <f t="shared" si="24"/>
        <v>#DIV/0!</v>
      </c>
      <c r="AI69" s="19">
        <f t="shared" si="25"/>
        <v>0</v>
      </c>
      <c r="AJ69" s="78" t="e">
        <f t="shared" si="26"/>
        <v>#DIV/0!</v>
      </c>
      <c r="AK69" s="19">
        <f t="shared" si="27"/>
        <v>0</v>
      </c>
      <c r="AL69" s="78" t="e">
        <f t="shared" si="28"/>
        <v>#DIV/0!</v>
      </c>
    </row>
    <row r="70" spans="1:38">
      <c r="A70" t="s">
        <v>61</v>
      </c>
      <c r="B70" t="s">
        <v>50</v>
      </c>
      <c r="C70" s="80" t="s">
        <v>49</v>
      </c>
      <c r="D70" s="81" t="s">
        <v>44</v>
      </c>
      <c r="E70" s="19">
        <v>3191.3339999999998</v>
      </c>
      <c r="F70" s="74">
        <v>65609737.83000011</v>
      </c>
      <c r="G70" s="19">
        <v>4436</v>
      </c>
      <c r="H70" s="74">
        <v>90849021.220000595</v>
      </c>
      <c r="I70" s="19">
        <v>4754</v>
      </c>
      <c r="J70" s="74">
        <v>101567274.13999999</v>
      </c>
      <c r="K70" s="19">
        <v>-1.667</v>
      </c>
      <c r="L70" s="74">
        <v>-36371.760000000002</v>
      </c>
      <c r="M70" s="19">
        <v>2615.5</v>
      </c>
      <c r="N70" s="74">
        <v>56676407.380000092</v>
      </c>
      <c r="O70" s="19">
        <v>2976.5</v>
      </c>
      <c r="P70" s="74">
        <v>64414782.860000201</v>
      </c>
      <c r="Q70" s="19">
        <v>5471</v>
      </c>
      <c r="R70" s="74">
        <v>121391744.98999974</v>
      </c>
      <c r="S70" s="19"/>
      <c r="T70" s="74"/>
      <c r="U70" s="19"/>
      <c r="V70" s="74"/>
      <c r="W70" s="19"/>
      <c r="X70" s="74"/>
      <c r="Y70" s="19"/>
      <c r="Z70" s="74"/>
      <c r="AA70" s="19"/>
      <c r="AB70" s="74"/>
      <c r="AC70" s="49">
        <f t="shared" si="19"/>
        <v>23442.666999999998</v>
      </c>
      <c r="AD70" s="73">
        <f t="shared" si="20"/>
        <v>500472596.66000074</v>
      </c>
      <c r="AE70" s="19">
        <f t="shared" si="21"/>
        <v>12381.333999999999</v>
      </c>
      <c r="AF70" s="78">
        <f t="shared" si="22"/>
        <v>182591.8715540593</v>
      </c>
      <c r="AG70" s="19">
        <f t="shared" si="23"/>
        <v>5590.3330000000005</v>
      </c>
      <c r="AH70" t="e">
        <f t="shared" si="24"/>
        <v>#DIV/0!</v>
      </c>
      <c r="AI70" s="19">
        <f t="shared" si="25"/>
        <v>5471</v>
      </c>
      <c r="AJ70" s="78" t="e">
        <f t="shared" si="26"/>
        <v>#DIV/0!</v>
      </c>
      <c r="AK70" s="19">
        <f t="shared" si="27"/>
        <v>0</v>
      </c>
      <c r="AL70" s="78" t="e">
        <f t="shared" si="28"/>
        <v>#DIV/0!</v>
      </c>
    </row>
    <row r="71" spans="1:38">
      <c r="A71" t="s">
        <v>47</v>
      </c>
      <c r="B71" t="s">
        <v>50</v>
      </c>
      <c r="C71" s="80" t="s">
        <v>49</v>
      </c>
      <c r="D71" s="81" t="s">
        <v>44</v>
      </c>
      <c r="E71" s="19">
        <v>686</v>
      </c>
      <c r="F71" s="74">
        <v>15365454.330000017</v>
      </c>
      <c r="G71" s="19"/>
      <c r="H71" s="74"/>
      <c r="I71" s="19">
        <v>1092</v>
      </c>
      <c r="J71" s="74">
        <v>25945869.089999959</v>
      </c>
      <c r="K71" s="19">
        <v>753</v>
      </c>
      <c r="L71" s="74">
        <v>18942340.650000025</v>
      </c>
      <c r="M71" s="19">
        <v>1034</v>
      </c>
      <c r="N71" s="74">
        <v>27935045.030000065</v>
      </c>
      <c r="O71" s="19">
        <v>522</v>
      </c>
      <c r="P71" s="74">
        <v>13430413.859999983</v>
      </c>
      <c r="Q71" s="19">
        <v>1122.75</v>
      </c>
      <c r="R71" s="74">
        <v>27030897.420000054</v>
      </c>
      <c r="S71" s="19"/>
      <c r="T71" s="74"/>
      <c r="U71" s="19"/>
      <c r="V71" s="74"/>
      <c r="W71" s="19"/>
      <c r="X71" s="74"/>
      <c r="Y71" s="19"/>
      <c r="Z71" s="74"/>
      <c r="AA71" s="19"/>
      <c r="AB71" s="74"/>
      <c r="AC71" s="49">
        <f t="shared" si="19"/>
        <v>5209.75</v>
      </c>
      <c r="AD71" s="73">
        <f t="shared" si="20"/>
        <v>128650020.3800001</v>
      </c>
      <c r="AE71" s="19">
        <f t="shared" si="21"/>
        <v>1778</v>
      </c>
      <c r="AF71" s="78">
        <f t="shared" si="22"/>
        <v>29233.917858506829</v>
      </c>
      <c r="AG71" s="19">
        <f t="shared" si="23"/>
        <v>2309</v>
      </c>
      <c r="AH71" t="e">
        <f t="shared" si="24"/>
        <v>#DIV/0!</v>
      </c>
      <c r="AI71" s="19">
        <f t="shared" si="25"/>
        <v>1122.75</v>
      </c>
      <c r="AJ71" s="78" t="e">
        <f t="shared" si="26"/>
        <v>#DIV/0!</v>
      </c>
      <c r="AK71" s="19">
        <f t="shared" si="27"/>
        <v>0</v>
      </c>
      <c r="AL71" s="78" t="e">
        <f t="shared" si="28"/>
        <v>#DIV/0!</v>
      </c>
    </row>
    <row r="72" spans="1:38">
      <c r="A72" t="s">
        <v>73</v>
      </c>
      <c r="B72" t="s">
        <v>50</v>
      </c>
      <c r="C72" s="80" t="s">
        <v>49</v>
      </c>
      <c r="D72" s="81" t="s">
        <v>44</v>
      </c>
      <c r="E72" s="19">
        <v>-1</v>
      </c>
      <c r="F72" s="74">
        <v>-186368.69</v>
      </c>
      <c r="G72" s="19"/>
      <c r="H72" s="74"/>
      <c r="I72" s="19">
        <v>166</v>
      </c>
      <c r="J72" s="74">
        <v>4045264.62</v>
      </c>
      <c r="K72" s="19">
        <v>43.5</v>
      </c>
      <c r="L72" s="74">
        <v>948977.57000000007</v>
      </c>
      <c r="M72" s="19">
        <v>158</v>
      </c>
      <c r="N72" s="74">
        <v>3766130.01</v>
      </c>
      <c r="O72" s="19">
        <v>84.5</v>
      </c>
      <c r="P72" s="74">
        <v>2119969.63</v>
      </c>
      <c r="Q72" s="19"/>
      <c r="R72" s="74"/>
      <c r="S72" s="19"/>
      <c r="T72" s="74"/>
      <c r="U72" s="19"/>
      <c r="V72" s="74"/>
      <c r="W72" s="19"/>
      <c r="X72" s="74"/>
      <c r="Y72" s="19"/>
      <c r="Z72" s="74"/>
      <c r="AA72" s="19"/>
      <c r="AB72" s="74"/>
      <c r="AC72" s="49">
        <f t="shared" si="19"/>
        <v>451</v>
      </c>
      <c r="AD72" s="73">
        <f t="shared" si="20"/>
        <v>10693973.140000001</v>
      </c>
      <c r="AE72" s="19">
        <f t="shared" si="21"/>
        <v>165</v>
      </c>
      <c r="AF72" s="78">
        <f t="shared" si="22"/>
        <v>2730.7439535459548</v>
      </c>
      <c r="AG72" s="19">
        <f t="shared" si="23"/>
        <v>286</v>
      </c>
      <c r="AH72" t="e">
        <f t="shared" si="24"/>
        <v>#DIV/0!</v>
      </c>
      <c r="AI72" s="19">
        <f t="shared" si="25"/>
        <v>0</v>
      </c>
      <c r="AJ72" s="78" t="e">
        <f t="shared" si="26"/>
        <v>#DIV/0!</v>
      </c>
      <c r="AK72" s="19">
        <f t="shared" si="27"/>
        <v>0</v>
      </c>
      <c r="AL72" s="78" t="e">
        <f t="shared" si="28"/>
        <v>#DIV/0!</v>
      </c>
    </row>
    <row r="73" spans="1:38">
      <c r="A73" t="s">
        <v>62</v>
      </c>
      <c r="B73" t="s">
        <v>50</v>
      </c>
      <c r="C73" s="80" t="s">
        <v>49</v>
      </c>
      <c r="D73" s="81" t="s">
        <v>44</v>
      </c>
      <c r="E73" s="19">
        <v>-1</v>
      </c>
      <c r="F73" s="74">
        <v>-39229.730000000003</v>
      </c>
      <c r="G73" s="19">
        <v>247.5</v>
      </c>
      <c r="H73" s="74">
        <v>6138428.339999998</v>
      </c>
      <c r="I73" s="19">
        <v>150.5</v>
      </c>
      <c r="J73" s="74">
        <v>3746650.23</v>
      </c>
      <c r="K73" s="19">
        <v>190</v>
      </c>
      <c r="L73" s="74">
        <v>4334983</v>
      </c>
      <c r="M73" s="19"/>
      <c r="N73" s="74"/>
      <c r="O73" s="19">
        <v>-1</v>
      </c>
      <c r="P73" s="74">
        <v>-241461.84</v>
      </c>
      <c r="Q73" s="19">
        <v>263.5</v>
      </c>
      <c r="R73" s="74">
        <v>6866202.4199999999</v>
      </c>
      <c r="S73" s="19"/>
      <c r="T73" s="74"/>
      <c r="U73" s="19"/>
      <c r="V73" s="74"/>
      <c r="W73" s="19"/>
      <c r="X73" s="74"/>
      <c r="Y73" s="19"/>
      <c r="Z73" s="74"/>
      <c r="AA73" s="19"/>
      <c r="AB73" s="74"/>
      <c r="AC73" s="49">
        <f t="shared" si="19"/>
        <v>849.5</v>
      </c>
      <c r="AD73" s="73">
        <f t="shared" si="20"/>
        <v>20805572.419999998</v>
      </c>
      <c r="AE73" s="19">
        <f t="shared" si="21"/>
        <v>397</v>
      </c>
      <c r="AF73" s="78">
        <f t="shared" si="22"/>
        <v>6967.4053602573949</v>
      </c>
      <c r="AG73" s="19">
        <f t="shared" si="23"/>
        <v>189</v>
      </c>
      <c r="AH73" t="e">
        <f t="shared" si="24"/>
        <v>#DIV/0!</v>
      </c>
      <c r="AI73" s="19">
        <f t="shared" si="25"/>
        <v>263.5</v>
      </c>
      <c r="AJ73" s="78" t="e">
        <f t="shared" si="26"/>
        <v>#DIV/0!</v>
      </c>
      <c r="AK73" s="19">
        <f t="shared" si="27"/>
        <v>0</v>
      </c>
      <c r="AL73" s="78" t="e">
        <f t="shared" si="28"/>
        <v>#DIV/0!</v>
      </c>
    </row>
    <row r="74" spans="1:38">
      <c r="A74" t="s">
        <v>153</v>
      </c>
      <c r="B74" t="s">
        <v>50</v>
      </c>
      <c r="C74" s="80" t="s">
        <v>49</v>
      </c>
      <c r="D74" s="81" t="s">
        <v>44</v>
      </c>
      <c r="E74" s="19"/>
      <c r="F74" s="74"/>
      <c r="G74" s="19"/>
      <c r="H74" s="74"/>
      <c r="I74" s="19"/>
      <c r="J74" s="74"/>
      <c r="K74" s="19">
        <v>31</v>
      </c>
      <c r="L74" s="74">
        <v>967915.2</v>
      </c>
      <c r="M74" s="19">
        <v>46</v>
      </c>
      <c r="N74" s="74">
        <v>1303271.3999999999</v>
      </c>
      <c r="O74" s="19">
        <v>46</v>
      </c>
      <c r="P74" s="74">
        <v>1350046.7999999996</v>
      </c>
      <c r="Q74" s="19"/>
      <c r="R74" s="74"/>
      <c r="S74" s="19"/>
      <c r="T74" s="74"/>
      <c r="U74" s="19"/>
      <c r="V74" s="74"/>
      <c r="W74" s="19"/>
      <c r="X74" s="74"/>
      <c r="Y74" s="19"/>
      <c r="Z74" s="74"/>
      <c r="AA74" s="19"/>
      <c r="AB74" s="74"/>
      <c r="AC74" s="49">
        <f t="shared" si="19"/>
        <v>123</v>
      </c>
      <c r="AD74" s="73">
        <f t="shared" si="20"/>
        <v>3621233.3999999994</v>
      </c>
      <c r="AE74" s="19">
        <f t="shared" si="21"/>
        <v>0</v>
      </c>
      <c r="AF74" s="78">
        <f t="shared" si="22"/>
        <v>0</v>
      </c>
      <c r="AG74" s="19">
        <f t="shared" si="23"/>
        <v>123</v>
      </c>
      <c r="AH74" t="e">
        <f t="shared" si="24"/>
        <v>#DIV/0!</v>
      </c>
      <c r="AI74" s="19">
        <f t="shared" si="25"/>
        <v>0</v>
      </c>
      <c r="AJ74" s="78" t="e">
        <f t="shared" si="26"/>
        <v>#DIV/0!</v>
      </c>
      <c r="AK74" s="19">
        <f t="shared" si="27"/>
        <v>0</v>
      </c>
      <c r="AL74" s="78" t="e">
        <f t="shared" si="28"/>
        <v>#DIV/0!</v>
      </c>
    </row>
    <row r="75" spans="1:38">
      <c r="A75" t="s">
        <v>116</v>
      </c>
      <c r="B75" t="s">
        <v>50</v>
      </c>
      <c r="C75" s="80" t="s">
        <v>49</v>
      </c>
      <c r="D75" s="81" t="s">
        <v>44</v>
      </c>
      <c r="E75" s="19"/>
      <c r="F75" s="74"/>
      <c r="G75" s="19">
        <v>41</v>
      </c>
      <c r="H75" s="74">
        <v>1240446.5599999991</v>
      </c>
      <c r="I75" s="19"/>
      <c r="J75" s="74"/>
      <c r="K75" s="19"/>
      <c r="L75" s="74"/>
      <c r="M75" s="19"/>
      <c r="N75" s="74"/>
      <c r="O75" s="19"/>
      <c r="P75" s="74"/>
      <c r="Q75" s="19"/>
      <c r="R75" s="74"/>
      <c r="S75" s="19"/>
      <c r="T75" s="74"/>
      <c r="U75" s="19"/>
      <c r="V75" s="74"/>
      <c r="W75" s="19"/>
      <c r="X75" s="74"/>
      <c r="Y75" s="19"/>
      <c r="Z75" s="74"/>
      <c r="AA75" s="19"/>
      <c r="AB75" s="74"/>
      <c r="AC75" s="49">
        <f t="shared" si="19"/>
        <v>41</v>
      </c>
      <c r="AD75" s="73">
        <f t="shared" si="20"/>
        <v>1240446.5599999991</v>
      </c>
      <c r="AE75" s="19">
        <f t="shared" si="21"/>
        <v>41</v>
      </c>
      <c r="AF75" s="78">
        <f t="shared" si="22"/>
        <v>877.80080231831414</v>
      </c>
      <c r="AG75" s="19">
        <f t="shared" si="23"/>
        <v>0</v>
      </c>
      <c r="AH75" t="e">
        <f t="shared" si="24"/>
        <v>#DIV/0!</v>
      </c>
      <c r="AI75" s="19">
        <f t="shared" si="25"/>
        <v>0</v>
      </c>
      <c r="AJ75" s="78" t="e">
        <f t="shared" si="26"/>
        <v>#DIV/0!</v>
      </c>
      <c r="AK75" s="19">
        <f t="shared" si="27"/>
        <v>0</v>
      </c>
      <c r="AL75" s="78" t="e">
        <f t="shared" si="28"/>
        <v>#DIV/0!</v>
      </c>
    </row>
    <row r="76" spans="1:38">
      <c r="A76" t="s">
        <v>140</v>
      </c>
      <c r="B76" t="s">
        <v>50</v>
      </c>
      <c r="C76" s="80" t="s">
        <v>49</v>
      </c>
      <c r="D76" s="81" t="s">
        <v>44</v>
      </c>
      <c r="E76" s="19"/>
      <c r="F76" s="74"/>
      <c r="G76" s="19"/>
      <c r="H76" s="74"/>
      <c r="I76" s="19">
        <v>412.5</v>
      </c>
      <c r="J76" s="74">
        <v>10551488.879999997</v>
      </c>
      <c r="K76" s="19">
        <v>147.5</v>
      </c>
      <c r="L76" s="74">
        <v>3762885.2099999995</v>
      </c>
      <c r="M76" s="19"/>
      <c r="N76" s="74"/>
      <c r="O76" s="19"/>
      <c r="P76" s="74"/>
      <c r="Q76" s="19"/>
      <c r="R76" s="74"/>
      <c r="S76" s="19"/>
      <c r="T76" s="74"/>
      <c r="U76" s="19"/>
      <c r="V76" s="74"/>
      <c r="W76" s="19"/>
      <c r="X76" s="74"/>
      <c r="Y76" s="19"/>
      <c r="Z76" s="74"/>
      <c r="AA76" s="19"/>
      <c r="AB76" s="74"/>
      <c r="AC76" s="49">
        <f t="shared" si="19"/>
        <v>560</v>
      </c>
      <c r="AD76" s="73">
        <f t="shared" si="20"/>
        <v>14314374.089999996</v>
      </c>
      <c r="AE76" s="19">
        <f t="shared" si="21"/>
        <v>412.5</v>
      </c>
      <c r="AF76" s="78">
        <f t="shared" si="22"/>
        <v>7466.7508485950202</v>
      </c>
      <c r="AG76" s="19">
        <f t="shared" si="23"/>
        <v>147.5</v>
      </c>
      <c r="AH76" t="e">
        <f t="shared" si="24"/>
        <v>#DIV/0!</v>
      </c>
      <c r="AI76" s="19">
        <f t="shared" si="25"/>
        <v>0</v>
      </c>
      <c r="AJ76" s="78" t="e">
        <f t="shared" si="26"/>
        <v>#DIV/0!</v>
      </c>
      <c r="AK76" s="19">
        <f t="shared" si="27"/>
        <v>0</v>
      </c>
      <c r="AL76" s="78" t="e">
        <f t="shared" si="28"/>
        <v>#DIV/0!</v>
      </c>
    </row>
    <row r="77" spans="1:38">
      <c r="A77" t="s">
        <v>117</v>
      </c>
      <c r="B77" t="s">
        <v>50</v>
      </c>
      <c r="C77" s="80" t="s">
        <v>49</v>
      </c>
      <c r="D77" s="81" t="s">
        <v>44</v>
      </c>
      <c r="E77" s="19"/>
      <c r="F77" s="74"/>
      <c r="G77" s="19">
        <v>22.5</v>
      </c>
      <c r="H77" s="74">
        <v>516574.1999999999</v>
      </c>
      <c r="I77" s="19"/>
      <c r="J77" s="74"/>
      <c r="K77" s="19"/>
      <c r="L77" s="74"/>
      <c r="M77" s="19"/>
      <c r="N77" s="74"/>
      <c r="O77" s="19"/>
      <c r="P77" s="74"/>
      <c r="Q77" s="19"/>
      <c r="R77" s="74"/>
      <c r="S77" s="19"/>
      <c r="T77" s="74"/>
      <c r="U77" s="19"/>
      <c r="V77" s="74"/>
      <c r="W77" s="19"/>
      <c r="X77" s="74"/>
      <c r="Y77" s="19"/>
      <c r="Z77" s="74"/>
      <c r="AA77" s="19"/>
      <c r="AB77" s="74"/>
      <c r="AC77" s="49">
        <f t="shared" si="19"/>
        <v>22.5</v>
      </c>
      <c r="AD77" s="73">
        <f t="shared" si="20"/>
        <v>516574.1999999999</v>
      </c>
      <c r="AE77" s="19">
        <f t="shared" si="21"/>
        <v>22.5</v>
      </c>
      <c r="AF77" s="78">
        <f t="shared" si="22"/>
        <v>365.55323045673288</v>
      </c>
      <c r="AG77" s="19">
        <f t="shared" si="23"/>
        <v>0</v>
      </c>
      <c r="AH77" t="e">
        <f t="shared" si="24"/>
        <v>#DIV/0!</v>
      </c>
      <c r="AI77" s="19">
        <f t="shared" si="25"/>
        <v>0</v>
      </c>
      <c r="AJ77" s="78" t="e">
        <f t="shared" si="26"/>
        <v>#DIV/0!</v>
      </c>
      <c r="AK77" s="19">
        <f t="shared" si="27"/>
        <v>0</v>
      </c>
      <c r="AL77" s="78" t="e">
        <f t="shared" si="28"/>
        <v>#DIV/0!</v>
      </c>
    </row>
    <row r="78" spans="1:38">
      <c r="A78" t="s">
        <v>48</v>
      </c>
      <c r="B78" t="s">
        <v>50</v>
      </c>
      <c r="C78" s="80" t="s">
        <v>49</v>
      </c>
      <c r="D78" s="81" t="s">
        <v>44</v>
      </c>
      <c r="E78" s="19">
        <v>120</v>
      </c>
      <c r="F78" s="74">
        <v>2674508.5600000015</v>
      </c>
      <c r="G78" s="19"/>
      <c r="H78" s="74"/>
      <c r="I78" s="19">
        <v>272</v>
      </c>
      <c r="J78" s="74">
        <v>6399480.4100000011</v>
      </c>
      <c r="K78" s="19">
        <v>168.5</v>
      </c>
      <c r="L78" s="74">
        <v>4236419.3499999996</v>
      </c>
      <c r="M78" s="19">
        <v>91</v>
      </c>
      <c r="N78" s="74">
        <v>2462335.4600000014</v>
      </c>
      <c r="O78" s="19">
        <v>54</v>
      </c>
      <c r="P78" s="74">
        <v>1420354.9799999997</v>
      </c>
      <c r="Q78" s="19">
        <v>90</v>
      </c>
      <c r="R78" s="74">
        <v>2205676.02</v>
      </c>
      <c r="S78" s="19"/>
      <c r="T78" s="74"/>
      <c r="U78" s="19"/>
      <c r="V78" s="74"/>
      <c r="W78" s="19"/>
      <c r="X78" s="74"/>
      <c r="Y78" s="19"/>
      <c r="Z78" s="74"/>
      <c r="AA78" s="19"/>
      <c r="AB78" s="74"/>
      <c r="AC78" s="49">
        <f t="shared" si="19"/>
        <v>795.5</v>
      </c>
      <c r="AD78" s="73">
        <f t="shared" si="20"/>
        <v>19398774.780000005</v>
      </c>
      <c r="AE78" s="19">
        <f t="shared" si="21"/>
        <v>392</v>
      </c>
      <c r="AF78" s="78">
        <f t="shared" si="22"/>
        <v>6421.1994735940425</v>
      </c>
      <c r="AG78" s="19">
        <f t="shared" si="23"/>
        <v>313.5</v>
      </c>
      <c r="AH78" t="e">
        <f t="shared" si="24"/>
        <v>#DIV/0!</v>
      </c>
      <c r="AI78" s="19">
        <f t="shared" si="25"/>
        <v>90</v>
      </c>
      <c r="AJ78" s="78" t="e">
        <f t="shared" si="26"/>
        <v>#DIV/0!</v>
      </c>
      <c r="AK78" s="19">
        <f t="shared" si="27"/>
        <v>0</v>
      </c>
      <c r="AL78" s="78" t="e">
        <f t="shared" si="28"/>
        <v>#DIV/0!</v>
      </c>
    </row>
    <row r="79" spans="1:38">
      <c r="A79" t="s">
        <v>76</v>
      </c>
      <c r="B79" t="s">
        <v>42</v>
      </c>
      <c r="C79" s="80" t="s">
        <v>49</v>
      </c>
      <c r="D79" s="81" t="s">
        <v>44</v>
      </c>
      <c r="E79" s="19">
        <v>77</v>
      </c>
      <c r="F79" s="74">
        <v>1741619.59</v>
      </c>
      <c r="G79" s="19"/>
      <c r="H79" s="74"/>
      <c r="I79" s="19"/>
      <c r="J79" s="74"/>
      <c r="K79" s="19">
        <v>35.5</v>
      </c>
      <c r="L79" s="74">
        <v>1105941.3999999999</v>
      </c>
      <c r="M79" s="19"/>
      <c r="N79" s="74"/>
      <c r="O79" s="19">
        <v>42</v>
      </c>
      <c r="P79" s="74">
        <v>1029600.0399999999</v>
      </c>
      <c r="Q79" s="19"/>
      <c r="R79" s="74"/>
      <c r="S79" s="19"/>
      <c r="T79" s="74"/>
      <c r="U79" s="19"/>
      <c r="V79" s="74"/>
      <c r="W79" s="19"/>
      <c r="X79" s="74"/>
      <c r="Y79" s="19"/>
      <c r="Z79" s="74"/>
      <c r="AA79" s="19"/>
      <c r="AB79" s="74"/>
      <c r="AC79" s="49">
        <f t="shared" si="19"/>
        <v>154.5</v>
      </c>
      <c r="AD79" s="73">
        <f t="shared" si="20"/>
        <v>3877161.0300000003</v>
      </c>
      <c r="AE79" s="19">
        <f t="shared" si="21"/>
        <v>77</v>
      </c>
      <c r="AF79" s="78">
        <f t="shared" si="22"/>
        <v>1232.4554097963676</v>
      </c>
      <c r="AG79" s="19">
        <f t="shared" si="23"/>
        <v>77.5</v>
      </c>
      <c r="AH79" t="e">
        <f t="shared" si="24"/>
        <v>#DIV/0!</v>
      </c>
      <c r="AI79" s="19">
        <f t="shared" si="25"/>
        <v>0</v>
      </c>
      <c r="AJ79" s="78" t="e">
        <f t="shared" si="26"/>
        <v>#DIV/0!</v>
      </c>
      <c r="AK79" s="19">
        <f t="shared" si="27"/>
        <v>0</v>
      </c>
      <c r="AL79" s="78" t="e">
        <f t="shared" si="28"/>
        <v>#DIV/0!</v>
      </c>
    </row>
    <row r="80" spans="1:38">
      <c r="A80" t="s">
        <v>118</v>
      </c>
      <c r="B80" t="s">
        <v>42</v>
      </c>
      <c r="C80" s="80" t="s">
        <v>49</v>
      </c>
      <c r="D80" s="81" t="s">
        <v>44</v>
      </c>
      <c r="E80" s="19"/>
      <c r="F80" s="74"/>
      <c r="G80" s="19">
        <v>379</v>
      </c>
      <c r="H80" s="74">
        <v>8301890.1100000003</v>
      </c>
      <c r="I80" s="19">
        <v>194.5</v>
      </c>
      <c r="J80" s="74">
        <v>5129520.1599999992</v>
      </c>
      <c r="K80" s="19">
        <v>313</v>
      </c>
      <c r="L80" s="74">
        <v>8994187.0099999998</v>
      </c>
      <c r="M80" s="19">
        <v>323.5</v>
      </c>
      <c r="N80" s="74">
        <v>9191741.709999999</v>
      </c>
      <c r="O80" s="19">
        <v>357</v>
      </c>
      <c r="P80" s="74">
        <v>10110786.379999999</v>
      </c>
      <c r="Q80" s="19">
        <v>-62</v>
      </c>
      <c r="R80" s="74">
        <v>-1703997.5</v>
      </c>
      <c r="S80" s="19"/>
      <c r="T80" s="74"/>
      <c r="U80" s="19"/>
      <c r="V80" s="74"/>
      <c r="W80" s="19"/>
      <c r="X80" s="74"/>
      <c r="Y80" s="19"/>
      <c r="Z80" s="74"/>
      <c r="AA80" s="19"/>
      <c r="AB80" s="74"/>
      <c r="AC80" s="49">
        <f t="shared" si="19"/>
        <v>1505</v>
      </c>
      <c r="AD80" s="73">
        <f t="shared" si="20"/>
        <v>40024127.869999997</v>
      </c>
      <c r="AE80" s="19">
        <f t="shared" si="21"/>
        <v>573.5</v>
      </c>
      <c r="AF80" s="78">
        <f t="shared" si="22"/>
        <v>9504.7244205928964</v>
      </c>
      <c r="AG80" s="19">
        <f t="shared" si="23"/>
        <v>993.5</v>
      </c>
      <c r="AH80" t="e">
        <f t="shared" si="24"/>
        <v>#DIV/0!</v>
      </c>
      <c r="AI80" s="19">
        <f t="shared" si="25"/>
        <v>-62</v>
      </c>
      <c r="AJ80" s="78" t="e">
        <f t="shared" si="26"/>
        <v>#DIV/0!</v>
      </c>
      <c r="AK80" s="19">
        <f t="shared" si="27"/>
        <v>0</v>
      </c>
      <c r="AL80" s="78" t="e">
        <f t="shared" si="28"/>
        <v>#DIV/0!</v>
      </c>
    </row>
    <row r="81" spans="1:38">
      <c r="A81" t="s">
        <v>163</v>
      </c>
      <c r="B81" t="s">
        <v>42</v>
      </c>
      <c r="C81" s="80" t="s">
        <v>49</v>
      </c>
      <c r="D81" s="81" t="s">
        <v>44</v>
      </c>
      <c r="E81" s="19"/>
      <c r="F81" s="74"/>
      <c r="G81" s="19"/>
      <c r="H81" s="74"/>
      <c r="I81" s="19"/>
      <c r="J81" s="74"/>
      <c r="K81" s="19"/>
      <c r="L81" s="74"/>
      <c r="M81" s="19"/>
      <c r="N81" s="74"/>
      <c r="O81" s="19">
        <v>31</v>
      </c>
      <c r="P81" s="74">
        <v>892245.6</v>
      </c>
      <c r="Q81" s="19"/>
      <c r="R81" s="74"/>
      <c r="S81" s="19"/>
      <c r="T81" s="74"/>
      <c r="U81" s="19"/>
      <c r="V81" s="74"/>
      <c r="W81" s="19"/>
      <c r="X81" s="74"/>
      <c r="Y81" s="19"/>
      <c r="Z81" s="74"/>
      <c r="AA81" s="19"/>
      <c r="AB81" s="74"/>
      <c r="AC81" s="49">
        <f t="shared" si="19"/>
        <v>31</v>
      </c>
      <c r="AD81" s="73">
        <f t="shared" si="20"/>
        <v>892245.6</v>
      </c>
      <c r="AE81" s="19">
        <f t="shared" si="21"/>
        <v>0</v>
      </c>
      <c r="AF81" s="78">
        <f t="shared" si="22"/>
        <v>0</v>
      </c>
      <c r="AG81" s="19">
        <f t="shared" si="23"/>
        <v>31</v>
      </c>
      <c r="AH81" t="e">
        <f t="shared" si="24"/>
        <v>#DIV/0!</v>
      </c>
      <c r="AI81" s="19">
        <f t="shared" si="25"/>
        <v>0</v>
      </c>
      <c r="AJ81" s="78" t="e">
        <f t="shared" si="26"/>
        <v>#DIV/0!</v>
      </c>
      <c r="AK81" s="19">
        <f t="shared" si="27"/>
        <v>0</v>
      </c>
      <c r="AL81" s="78" t="e">
        <f t="shared" si="28"/>
        <v>#DIV/0!</v>
      </c>
    </row>
    <row r="82" spans="1:38">
      <c r="A82" t="s">
        <v>63</v>
      </c>
      <c r="B82" t="s">
        <v>42</v>
      </c>
      <c r="C82" s="80" t="s">
        <v>49</v>
      </c>
      <c r="D82" s="81" t="s">
        <v>44</v>
      </c>
      <c r="E82" s="19">
        <v>36</v>
      </c>
      <c r="F82" s="74">
        <v>897165.60000000009</v>
      </c>
      <c r="G82" s="19"/>
      <c r="H82" s="74"/>
      <c r="I82" s="19"/>
      <c r="J82" s="74"/>
      <c r="K82" s="19"/>
      <c r="L82" s="74"/>
      <c r="M82" s="19"/>
      <c r="N82" s="74"/>
      <c r="O82" s="19"/>
      <c r="P82" s="74"/>
      <c r="Q82" s="19"/>
      <c r="R82" s="74"/>
      <c r="S82" s="19"/>
      <c r="T82" s="74"/>
      <c r="U82" s="19"/>
      <c r="V82" s="74"/>
      <c r="W82" s="19"/>
      <c r="X82" s="74"/>
      <c r="Y82" s="19"/>
      <c r="Z82" s="74"/>
      <c r="AA82" s="19"/>
      <c r="AB82" s="74"/>
      <c r="AC82" s="49">
        <f t="shared" si="19"/>
        <v>36</v>
      </c>
      <c r="AD82" s="73">
        <f t="shared" si="20"/>
        <v>897165.60000000009</v>
      </c>
      <c r="AE82" s="19">
        <f t="shared" si="21"/>
        <v>36</v>
      </c>
      <c r="AF82" s="78">
        <f t="shared" si="22"/>
        <v>634.87836468536966</v>
      </c>
      <c r="AG82" s="19">
        <f t="shared" si="23"/>
        <v>0</v>
      </c>
      <c r="AH82" t="e">
        <f t="shared" si="24"/>
        <v>#DIV/0!</v>
      </c>
      <c r="AI82" s="19">
        <f t="shared" si="25"/>
        <v>0</v>
      </c>
      <c r="AJ82" s="78" t="e">
        <f t="shared" si="26"/>
        <v>#DIV/0!</v>
      </c>
      <c r="AK82" s="19">
        <f t="shared" si="27"/>
        <v>0</v>
      </c>
      <c r="AL82" s="78" t="e">
        <f t="shared" si="28"/>
        <v>#DIV/0!</v>
      </c>
    </row>
    <row r="83" spans="1:38">
      <c r="A83" t="s">
        <v>164</v>
      </c>
      <c r="B83" t="s">
        <v>42</v>
      </c>
      <c r="C83" s="80" t="s">
        <v>49</v>
      </c>
      <c r="D83" s="81" t="s">
        <v>44</v>
      </c>
      <c r="E83" s="19"/>
      <c r="F83" s="74"/>
      <c r="G83" s="19"/>
      <c r="H83" s="74"/>
      <c r="I83" s="19"/>
      <c r="J83" s="74"/>
      <c r="K83" s="19"/>
      <c r="L83" s="74"/>
      <c r="M83" s="19"/>
      <c r="N83" s="74"/>
      <c r="O83" s="19">
        <v>229</v>
      </c>
      <c r="P83" s="74">
        <v>6483083.2799999993</v>
      </c>
      <c r="Q83" s="19"/>
      <c r="R83" s="74"/>
      <c r="S83" s="19"/>
      <c r="T83" s="74"/>
      <c r="U83" s="19"/>
      <c r="V83" s="74"/>
      <c r="W83" s="19"/>
      <c r="X83" s="74"/>
      <c r="Y83" s="19"/>
      <c r="Z83" s="74"/>
      <c r="AA83" s="19"/>
      <c r="AB83" s="74"/>
      <c r="AC83" s="49">
        <f t="shared" si="19"/>
        <v>229</v>
      </c>
      <c r="AD83" s="73">
        <f t="shared" si="20"/>
        <v>6483083.2799999993</v>
      </c>
      <c r="AE83" s="19">
        <f t="shared" si="21"/>
        <v>0</v>
      </c>
      <c r="AF83" s="78">
        <f t="shared" si="22"/>
        <v>0</v>
      </c>
      <c r="AG83" s="19">
        <f t="shared" si="23"/>
        <v>229</v>
      </c>
      <c r="AH83" t="e">
        <f t="shared" si="24"/>
        <v>#DIV/0!</v>
      </c>
      <c r="AI83" s="19">
        <f t="shared" si="25"/>
        <v>0</v>
      </c>
      <c r="AJ83" s="78" t="e">
        <f t="shared" si="26"/>
        <v>#DIV/0!</v>
      </c>
      <c r="AK83" s="19">
        <f t="shared" si="27"/>
        <v>0</v>
      </c>
      <c r="AL83" s="78" t="e">
        <f t="shared" si="28"/>
        <v>#DIV/0!</v>
      </c>
    </row>
    <row r="84" spans="1:38">
      <c r="A84" t="s">
        <v>119</v>
      </c>
      <c r="B84" t="s">
        <v>42</v>
      </c>
      <c r="C84" s="80" t="s">
        <v>49</v>
      </c>
      <c r="D84" s="81" t="s">
        <v>44</v>
      </c>
      <c r="E84" s="19"/>
      <c r="F84" s="74"/>
      <c r="G84" s="19">
        <v>14</v>
      </c>
      <c r="H84" s="74">
        <v>512576.40000000008</v>
      </c>
      <c r="I84" s="19"/>
      <c r="J84" s="74"/>
      <c r="K84" s="19"/>
      <c r="L84" s="74"/>
      <c r="M84" s="19"/>
      <c r="N84" s="74"/>
      <c r="O84" s="19"/>
      <c r="P84" s="74"/>
      <c r="Q84" s="19"/>
      <c r="R84" s="74"/>
      <c r="S84" s="19"/>
      <c r="T84" s="74"/>
      <c r="U84" s="19"/>
      <c r="V84" s="74"/>
      <c r="W84" s="19"/>
      <c r="X84" s="74"/>
      <c r="Y84" s="19"/>
      <c r="Z84" s="74"/>
      <c r="AA84" s="19"/>
      <c r="AB84" s="74"/>
      <c r="AC84" s="49">
        <f t="shared" si="19"/>
        <v>14</v>
      </c>
      <c r="AD84" s="73">
        <f t="shared" si="20"/>
        <v>512576.40000000008</v>
      </c>
      <c r="AE84" s="19">
        <f t="shared" si="21"/>
        <v>14</v>
      </c>
      <c r="AF84" s="78">
        <f t="shared" si="22"/>
        <v>362.72419117308328</v>
      </c>
      <c r="AG84" s="19">
        <f t="shared" si="23"/>
        <v>0</v>
      </c>
      <c r="AH84" t="e">
        <f t="shared" si="24"/>
        <v>#DIV/0!</v>
      </c>
      <c r="AI84" s="19">
        <f t="shared" si="25"/>
        <v>0</v>
      </c>
      <c r="AJ84" s="78" t="e">
        <f t="shared" si="26"/>
        <v>#DIV/0!</v>
      </c>
      <c r="AK84" s="19">
        <f t="shared" si="27"/>
        <v>0</v>
      </c>
      <c r="AL84" s="78" t="e">
        <f t="shared" si="28"/>
        <v>#DIV/0!</v>
      </c>
    </row>
    <row r="85" spans="1:38">
      <c r="A85" t="s">
        <v>120</v>
      </c>
      <c r="B85" t="s">
        <v>42</v>
      </c>
      <c r="C85" s="80" t="s">
        <v>49</v>
      </c>
      <c r="D85" s="81" t="s">
        <v>44</v>
      </c>
      <c r="E85" s="19"/>
      <c r="F85" s="74"/>
      <c r="G85" s="19">
        <v>270</v>
      </c>
      <c r="H85" s="74">
        <v>6028971.5999999996</v>
      </c>
      <c r="I85" s="19">
        <v>193.5</v>
      </c>
      <c r="J85" s="74">
        <v>4856422.0299999993</v>
      </c>
      <c r="K85" s="19">
        <v>170</v>
      </c>
      <c r="L85" s="74">
        <v>4486396.5599999996</v>
      </c>
      <c r="M85" s="19">
        <v>145</v>
      </c>
      <c r="N85" s="74">
        <v>4152475.1999999993</v>
      </c>
      <c r="O85" s="19">
        <v>193</v>
      </c>
      <c r="P85" s="74">
        <v>5275603.6700000009</v>
      </c>
      <c r="Q85" s="19">
        <v>-14</v>
      </c>
      <c r="R85" s="74">
        <v>-408729.5</v>
      </c>
      <c r="S85" s="19"/>
      <c r="T85" s="74"/>
      <c r="U85" s="19"/>
      <c r="V85" s="74"/>
      <c r="W85" s="19"/>
      <c r="X85" s="74"/>
      <c r="Y85" s="19"/>
      <c r="Z85" s="74"/>
      <c r="AA85" s="19"/>
      <c r="AB85" s="74"/>
      <c r="AC85" s="49">
        <f t="shared" si="19"/>
        <v>957.5</v>
      </c>
      <c r="AD85" s="73">
        <f t="shared" si="20"/>
        <v>24391139.560000002</v>
      </c>
      <c r="AE85" s="19">
        <f t="shared" si="21"/>
        <v>463.5</v>
      </c>
      <c r="AF85" s="78">
        <f t="shared" si="22"/>
        <v>7703.0382203362888</v>
      </c>
      <c r="AG85" s="19">
        <f t="shared" si="23"/>
        <v>508</v>
      </c>
      <c r="AH85" t="e">
        <f t="shared" si="24"/>
        <v>#DIV/0!</v>
      </c>
      <c r="AI85" s="19">
        <f t="shared" si="25"/>
        <v>-14</v>
      </c>
      <c r="AJ85" s="78" t="e">
        <f t="shared" si="26"/>
        <v>#DIV/0!</v>
      </c>
      <c r="AK85" s="19">
        <f t="shared" si="27"/>
        <v>0</v>
      </c>
      <c r="AL85" s="78" t="e">
        <f t="shared" si="28"/>
        <v>#DIV/0!</v>
      </c>
    </row>
    <row r="86" spans="1:38">
      <c r="A86" t="s">
        <v>165</v>
      </c>
      <c r="B86" t="s">
        <v>42</v>
      </c>
      <c r="C86" s="80" t="s">
        <v>49</v>
      </c>
      <c r="D86" s="81" t="s">
        <v>44</v>
      </c>
      <c r="E86" s="19"/>
      <c r="F86" s="74"/>
      <c r="G86" s="19"/>
      <c r="H86" s="74"/>
      <c r="I86" s="19"/>
      <c r="J86" s="74"/>
      <c r="K86" s="19"/>
      <c r="L86" s="74"/>
      <c r="M86" s="19"/>
      <c r="N86" s="74"/>
      <c r="O86" s="19">
        <v>35</v>
      </c>
      <c r="P86" s="74">
        <v>1192554</v>
      </c>
      <c r="Q86" s="19"/>
      <c r="R86" s="74"/>
      <c r="S86" s="19"/>
      <c r="T86" s="74"/>
      <c r="U86" s="19"/>
      <c r="V86" s="74"/>
      <c r="W86" s="19"/>
      <c r="X86" s="74"/>
      <c r="Y86" s="19"/>
      <c r="Z86" s="74"/>
      <c r="AA86" s="19"/>
      <c r="AB86" s="74"/>
      <c r="AC86" s="49">
        <f t="shared" si="19"/>
        <v>35</v>
      </c>
      <c r="AD86" s="73">
        <f t="shared" si="20"/>
        <v>1192554</v>
      </c>
      <c r="AE86" s="19">
        <f t="shared" si="21"/>
        <v>0</v>
      </c>
      <c r="AF86" s="78">
        <f t="shared" si="22"/>
        <v>0</v>
      </c>
      <c r="AG86" s="19">
        <f t="shared" si="23"/>
        <v>35</v>
      </c>
      <c r="AH86" t="e">
        <f t="shared" si="24"/>
        <v>#DIV/0!</v>
      </c>
      <c r="AI86" s="19">
        <f t="shared" si="25"/>
        <v>0</v>
      </c>
      <c r="AJ86" s="78" t="e">
        <f t="shared" si="26"/>
        <v>#DIV/0!</v>
      </c>
      <c r="AK86" s="19">
        <f t="shared" si="27"/>
        <v>0</v>
      </c>
      <c r="AL86" s="78" t="e">
        <f t="shared" si="28"/>
        <v>#DIV/0!</v>
      </c>
    </row>
    <row r="87" spans="1:38">
      <c r="A87" t="s">
        <v>166</v>
      </c>
      <c r="B87" t="s">
        <v>42</v>
      </c>
      <c r="C87" s="80" t="s">
        <v>49</v>
      </c>
      <c r="D87" s="81" t="s">
        <v>44</v>
      </c>
      <c r="E87" s="19"/>
      <c r="F87" s="74"/>
      <c r="G87" s="19"/>
      <c r="H87" s="74"/>
      <c r="I87" s="19"/>
      <c r="J87" s="74"/>
      <c r="K87" s="19"/>
      <c r="L87" s="74"/>
      <c r="M87" s="19"/>
      <c r="N87" s="74"/>
      <c r="O87" s="19">
        <v>866</v>
      </c>
      <c r="P87" s="74">
        <v>24253575.599999998</v>
      </c>
      <c r="Q87" s="19"/>
      <c r="R87" s="74"/>
      <c r="S87" s="19"/>
      <c r="T87" s="74"/>
      <c r="U87" s="19"/>
      <c r="V87" s="74"/>
      <c r="W87" s="19"/>
      <c r="X87" s="74"/>
      <c r="Y87" s="19"/>
      <c r="Z87" s="74"/>
      <c r="AA87" s="19"/>
      <c r="AB87" s="74"/>
      <c r="AC87" s="49">
        <f t="shared" si="19"/>
        <v>866</v>
      </c>
      <c r="AD87" s="73">
        <f t="shared" si="20"/>
        <v>24253575.599999998</v>
      </c>
      <c r="AE87" s="19">
        <f t="shared" si="21"/>
        <v>0</v>
      </c>
      <c r="AF87" s="78">
        <f t="shared" si="22"/>
        <v>0</v>
      </c>
      <c r="AG87" s="19">
        <f t="shared" si="23"/>
        <v>866</v>
      </c>
      <c r="AH87" t="e">
        <f t="shared" si="24"/>
        <v>#DIV/0!</v>
      </c>
      <c r="AI87" s="19">
        <f t="shared" si="25"/>
        <v>0</v>
      </c>
      <c r="AJ87" s="78" t="e">
        <f t="shared" si="26"/>
        <v>#DIV/0!</v>
      </c>
      <c r="AK87" s="19">
        <f t="shared" si="27"/>
        <v>0</v>
      </c>
      <c r="AL87" s="78" t="e">
        <f t="shared" si="28"/>
        <v>#DIV/0!</v>
      </c>
    </row>
    <row r="88" spans="1:38">
      <c r="A88" t="s">
        <v>167</v>
      </c>
      <c r="B88" t="s">
        <v>42</v>
      </c>
      <c r="C88" s="80" t="s">
        <v>49</v>
      </c>
      <c r="D88" s="81" t="s">
        <v>44</v>
      </c>
      <c r="E88" s="19"/>
      <c r="F88" s="74"/>
      <c r="G88" s="19"/>
      <c r="H88" s="74"/>
      <c r="I88" s="19"/>
      <c r="J88" s="74"/>
      <c r="K88" s="19"/>
      <c r="L88" s="74"/>
      <c r="M88" s="19"/>
      <c r="N88" s="74"/>
      <c r="O88" s="19">
        <v>6.5</v>
      </c>
      <c r="P88" s="74">
        <v>225063.36</v>
      </c>
      <c r="Q88" s="19"/>
      <c r="R88" s="74"/>
      <c r="S88" s="19"/>
      <c r="T88" s="74"/>
      <c r="U88" s="19"/>
      <c r="V88" s="74"/>
      <c r="W88" s="19"/>
      <c r="X88" s="74"/>
      <c r="Y88" s="19"/>
      <c r="Z88" s="74"/>
      <c r="AA88" s="19"/>
      <c r="AB88" s="74"/>
      <c r="AC88" s="49">
        <f t="shared" si="19"/>
        <v>6.5</v>
      </c>
      <c r="AD88" s="73">
        <f t="shared" si="20"/>
        <v>225063.36</v>
      </c>
      <c r="AE88" s="19">
        <f t="shared" si="21"/>
        <v>0</v>
      </c>
      <c r="AF88" s="78">
        <f t="shared" si="22"/>
        <v>0</v>
      </c>
      <c r="AG88" s="19">
        <f t="shared" si="23"/>
        <v>6.5</v>
      </c>
      <c r="AH88" t="e">
        <f t="shared" si="24"/>
        <v>#DIV/0!</v>
      </c>
      <c r="AI88" s="19">
        <f t="shared" si="25"/>
        <v>0</v>
      </c>
      <c r="AJ88" s="78" t="e">
        <f t="shared" si="26"/>
        <v>#DIV/0!</v>
      </c>
      <c r="AK88" s="19">
        <f t="shared" si="27"/>
        <v>0</v>
      </c>
      <c r="AL88" s="78" t="e">
        <f t="shared" si="28"/>
        <v>#DIV/0!</v>
      </c>
    </row>
    <row r="89" spans="1:38">
      <c r="A89" t="s">
        <v>141</v>
      </c>
      <c r="B89" t="s">
        <v>42</v>
      </c>
      <c r="C89" s="80" t="s">
        <v>49</v>
      </c>
      <c r="D89" s="81" t="s">
        <v>44</v>
      </c>
      <c r="E89" s="19"/>
      <c r="F89" s="74"/>
      <c r="G89" s="19"/>
      <c r="H89" s="74"/>
      <c r="I89" s="19">
        <v>9</v>
      </c>
      <c r="J89" s="74">
        <v>269829.60000000003</v>
      </c>
      <c r="K89" s="19"/>
      <c r="L89" s="74"/>
      <c r="M89" s="19">
        <v>4</v>
      </c>
      <c r="N89" s="74">
        <v>116914.79999999999</v>
      </c>
      <c r="O89" s="19"/>
      <c r="P89" s="74"/>
      <c r="Q89" s="19"/>
      <c r="R89" s="74"/>
      <c r="S89" s="19"/>
      <c r="T89" s="74"/>
      <c r="U89" s="19"/>
      <c r="V89" s="74"/>
      <c r="W89" s="19"/>
      <c r="X89" s="74"/>
      <c r="Y89" s="19"/>
      <c r="Z89" s="74"/>
      <c r="AA89" s="19"/>
      <c r="AB89" s="74"/>
      <c r="AC89" s="49">
        <f t="shared" si="19"/>
        <v>13</v>
      </c>
      <c r="AD89" s="73">
        <f t="shared" si="20"/>
        <v>386744.4</v>
      </c>
      <c r="AE89" s="19">
        <f t="shared" si="21"/>
        <v>9</v>
      </c>
      <c r="AF89" s="78">
        <f t="shared" si="22"/>
        <v>190.94465413264555</v>
      </c>
      <c r="AG89" s="19">
        <f t="shared" si="23"/>
        <v>4</v>
      </c>
      <c r="AH89" t="e">
        <f t="shared" si="24"/>
        <v>#DIV/0!</v>
      </c>
      <c r="AI89" s="19">
        <f t="shared" si="25"/>
        <v>0</v>
      </c>
      <c r="AJ89" s="78" t="e">
        <f t="shared" si="26"/>
        <v>#DIV/0!</v>
      </c>
      <c r="AK89" s="19">
        <f t="shared" si="27"/>
        <v>0</v>
      </c>
      <c r="AL89" s="78" t="e">
        <f t="shared" si="28"/>
        <v>#DIV/0!</v>
      </c>
    </row>
    <row r="90" spans="1:38">
      <c r="A90" t="s">
        <v>168</v>
      </c>
      <c r="B90" t="s">
        <v>42</v>
      </c>
      <c r="C90" s="80" t="s">
        <v>49</v>
      </c>
      <c r="D90" s="81" t="s">
        <v>44</v>
      </c>
      <c r="E90" s="19"/>
      <c r="F90" s="74"/>
      <c r="G90" s="19"/>
      <c r="H90" s="74"/>
      <c r="I90" s="19"/>
      <c r="J90" s="74"/>
      <c r="K90" s="19"/>
      <c r="L90" s="74"/>
      <c r="M90" s="19"/>
      <c r="N90" s="74"/>
      <c r="O90" s="19">
        <v>50</v>
      </c>
      <c r="P90" s="74">
        <v>1572207.6</v>
      </c>
      <c r="Q90" s="19"/>
      <c r="R90" s="74"/>
      <c r="S90" s="19"/>
      <c r="T90" s="74"/>
      <c r="U90" s="19"/>
      <c r="V90" s="74"/>
      <c r="W90" s="19"/>
      <c r="X90" s="74"/>
      <c r="Y90" s="19"/>
      <c r="Z90" s="74"/>
      <c r="AA90" s="19"/>
      <c r="AB90" s="74"/>
      <c r="AC90" s="49">
        <f t="shared" si="19"/>
        <v>50</v>
      </c>
      <c r="AD90" s="73">
        <f t="shared" si="20"/>
        <v>1572207.6</v>
      </c>
      <c r="AE90" s="19">
        <f t="shared" si="21"/>
        <v>0</v>
      </c>
      <c r="AF90" s="78">
        <f t="shared" si="22"/>
        <v>0</v>
      </c>
      <c r="AG90" s="19">
        <f t="shared" si="23"/>
        <v>50</v>
      </c>
      <c r="AH90" t="e">
        <f t="shared" si="24"/>
        <v>#DIV/0!</v>
      </c>
      <c r="AI90" s="19">
        <f t="shared" si="25"/>
        <v>0</v>
      </c>
      <c r="AJ90" s="78" t="e">
        <f t="shared" si="26"/>
        <v>#DIV/0!</v>
      </c>
      <c r="AK90" s="19">
        <f t="shared" si="27"/>
        <v>0</v>
      </c>
      <c r="AL90" s="78" t="e">
        <f t="shared" si="28"/>
        <v>#DIV/0!</v>
      </c>
    </row>
    <row r="91" spans="1:38">
      <c r="A91" t="s">
        <v>142</v>
      </c>
      <c r="B91" t="s">
        <v>42</v>
      </c>
      <c r="C91" s="80" t="s">
        <v>49</v>
      </c>
      <c r="D91" s="81" t="s">
        <v>44</v>
      </c>
      <c r="E91" s="19"/>
      <c r="F91" s="74"/>
      <c r="G91" s="19"/>
      <c r="H91" s="74"/>
      <c r="I91" s="19">
        <v>23.5</v>
      </c>
      <c r="J91" s="74">
        <v>796404.90000000014</v>
      </c>
      <c r="K91" s="19">
        <v>-2</v>
      </c>
      <c r="L91" s="74">
        <v>-71138.490000000005</v>
      </c>
      <c r="M91" s="19"/>
      <c r="N91" s="74"/>
      <c r="O91" s="19"/>
      <c r="P91" s="74"/>
      <c r="Q91" s="19"/>
      <c r="R91" s="74"/>
      <c r="S91" s="19"/>
      <c r="T91" s="74"/>
      <c r="U91" s="19"/>
      <c r="V91" s="74"/>
      <c r="W91" s="19"/>
      <c r="X91" s="74"/>
      <c r="Y91" s="19"/>
      <c r="Z91" s="74"/>
      <c r="AA91" s="19"/>
      <c r="AB91" s="74"/>
      <c r="AC91" s="49">
        <f t="shared" si="19"/>
        <v>21.5</v>
      </c>
      <c r="AD91" s="73">
        <f t="shared" si="20"/>
        <v>725266.41000000015</v>
      </c>
      <c r="AE91" s="19">
        <f t="shared" si="21"/>
        <v>23.5</v>
      </c>
      <c r="AF91" s="78">
        <f t="shared" si="22"/>
        <v>563.57515328208683</v>
      </c>
      <c r="AG91" s="19">
        <f t="shared" si="23"/>
        <v>-2</v>
      </c>
      <c r="AH91" t="e">
        <f t="shared" si="24"/>
        <v>#DIV/0!</v>
      </c>
      <c r="AI91" s="19">
        <f t="shared" si="25"/>
        <v>0</v>
      </c>
      <c r="AJ91" s="78" t="e">
        <f t="shared" si="26"/>
        <v>#DIV/0!</v>
      </c>
      <c r="AK91" s="19">
        <f t="shared" si="27"/>
        <v>0</v>
      </c>
      <c r="AL91" s="78" t="e">
        <f t="shared" si="28"/>
        <v>#DIV/0!</v>
      </c>
    </row>
    <row r="92" spans="1:38">
      <c r="A92" t="s">
        <v>121</v>
      </c>
      <c r="B92" t="s">
        <v>42</v>
      </c>
      <c r="C92" s="80" t="s">
        <v>49</v>
      </c>
      <c r="D92" s="81" t="s">
        <v>44</v>
      </c>
      <c r="E92" s="19"/>
      <c r="F92" s="74"/>
      <c r="G92" s="19">
        <v>38</v>
      </c>
      <c r="H92" s="74">
        <v>920511.60000000021</v>
      </c>
      <c r="I92" s="19"/>
      <c r="J92" s="74"/>
      <c r="K92" s="19"/>
      <c r="L92" s="74"/>
      <c r="M92" s="19"/>
      <c r="N92" s="74"/>
      <c r="O92" s="19"/>
      <c r="P92" s="74"/>
      <c r="Q92" s="19"/>
      <c r="R92" s="74"/>
      <c r="S92" s="19"/>
      <c r="T92" s="74"/>
      <c r="U92" s="19"/>
      <c r="V92" s="74"/>
      <c r="W92" s="19"/>
      <c r="X92" s="74"/>
      <c r="Y92" s="19"/>
      <c r="Z92" s="74"/>
      <c r="AA92" s="19"/>
      <c r="AB92" s="74"/>
      <c r="AC92" s="49">
        <f t="shared" si="19"/>
        <v>38</v>
      </c>
      <c r="AD92" s="73">
        <f t="shared" si="20"/>
        <v>920511.60000000021</v>
      </c>
      <c r="AE92" s="19">
        <f t="shared" si="21"/>
        <v>38</v>
      </c>
      <c r="AF92" s="78">
        <f t="shared" si="22"/>
        <v>651.39913889020397</v>
      </c>
      <c r="AG92" s="19">
        <f t="shared" si="23"/>
        <v>0</v>
      </c>
      <c r="AH92" t="e">
        <f t="shared" si="24"/>
        <v>#DIV/0!</v>
      </c>
      <c r="AI92" s="19">
        <f t="shared" si="25"/>
        <v>0</v>
      </c>
      <c r="AJ92" s="78" t="e">
        <f t="shared" si="26"/>
        <v>#DIV/0!</v>
      </c>
      <c r="AK92" s="19">
        <f t="shared" si="27"/>
        <v>0</v>
      </c>
      <c r="AL92" s="78" t="e">
        <f t="shared" si="28"/>
        <v>#DIV/0!</v>
      </c>
    </row>
    <row r="93" spans="1:38">
      <c r="A93" t="s">
        <v>122</v>
      </c>
      <c r="B93" t="s">
        <v>42</v>
      </c>
      <c r="C93" s="80" t="s">
        <v>49</v>
      </c>
      <c r="D93" s="81" t="s">
        <v>44</v>
      </c>
      <c r="E93" s="19"/>
      <c r="F93" s="74"/>
      <c r="G93" s="19">
        <v>22.5</v>
      </c>
      <c r="H93" s="74">
        <v>666715.80000000005</v>
      </c>
      <c r="I93" s="19"/>
      <c r="J93" s="74"/>
      <c r="K93" s="19">
        <v>28</v>
      </c>
      <c r="L93" s="74">
        <v>791327.39999999991</v>
      </c>
      <c r="M93" s="19"/>
      <c r="N93" s="74"/>
      <c r="O93" s="19">
        <v>17</v>
      </c>
      <c r="P93" s="74">
        <v>606114.6</v>
      </c>
      <c r="Q93" s="19"/>
      <c r="R93" s="74"/>
      <c r="S93" s="19"/>
      <c r="T93" s="74"/>
      <c r="U93" s="19"/>
      <c r="V93" s="74"/>
      <c r="W93" s="19"/>
      <c r="X93" s="74"/>
      <c r="Y93" s="19"/>
      <c r="Z93" s="74"/>
      <c r="AA93" s="19"/>
      <c r="AB93" s="74"/>
      <c r="AC93" s="49">
        <f t="shared" si="19"/>
        <v>67.5</v>
      </c>
      <c r="AD93" s="73">
        <f t="shared" si="20"/>
        <v>2064157.8</v>
      </c>
      <c r="AE93" s="19">
        <f t="shared" si="21"/>
        <v>22.5</v>
      </c>
      <c r="AF93" s="78">
        <f t="shared" si="22"/>
        <v>471.80078774074485</v>
      </c>
      <c r="AG93" s="19">
        <f t="shared" si="23"/>
        <v>45</v>
      </c>
      <c r="AH93" t="e">
        <f t="shared" si="24"/>
        <v>#DIV/0!</v>
      </c>
      <c r="AI93" s="19">
        <f t="shared" si="25"/>
        <v>0</v>
      </c>
      <c r="AJ93" s="78" t="e">
        <f t="shared" si="26"/>
        <v>#DIV/0!</v>
      </c>
      <c r="AK93" s="19">
        <f t="shared" si="27"/>
        <v>0</v>
      </c>
      <c r="AL93" s="78" t="e">
        <f t="shared" si="28"/>
        <v>#DIV/0!</v>
      </c>
    </row>
    <row r="94" spans="1:38">
      <c r="A94" t="s">
        <v>160</v>
      </c>
      <c r="B94" t="s">
        <v>42</v>
      </c>
      <c r="C94" s="80" t="s">
        <v>49</v>
      </c>
      <c r="D94" s="81" t="s">
        <v>44</v>
      </c>
      <c r="E94" s="19"/>
      <c r="F94" s="74"/>
      <c r="G94" s="19"/>
      <c r="H94" s="74"/>
      <c r="I94" s="19"/>
      <c r="J94" s="74"/>
      <c r="K94" s="19"/>
      <c r="L94" s="74"/>
      <c r="M94" s="19">
        <v>-1</v>
      </c>
      <c r="N94" s="74">
        <v>-55646.48</v>
      </c>
      <c r="O94" s="19"/>
      <c r="P94" s="74"/>
      <c r="Q94" s="19"/>
      <c r="R94" s="74"/>
      <c r="S94" s="19"/>
      <c r="T94" s="74"/>
      <c r="U94" s="19"/>
      <c r="V94" s="74"/>
      <c r="W94" s="19"/>
      <c r="X94" s="74"/>
      <c r="Y94" s="19"/>
      <c r="Z94" s="74"/>
      <c r="AA94" s="19"/>
      <c r="AB94" s="74"/>
      <c r="AC94" s="49">
        <f t="shared" si="19"/>
        <v>-1</v>
      </c>
      <c r="AD94" s="73">
        <f t="shared" si="20"/>
        <v>-55646.48</v>
      </c>
      <c r="AE94" s="19">
        <f t="shared" si="21"/>
        <v>0</v>
      </c>
      <c r="AF94" s="78">
        <f t="shared" si="22"/>
        <v>0</v>
      </c>
      <c r="AG94" s="19">
        <f t="shared" si="23"/>
        <v>-1</v>
      </c>
      <c r="AH94" t="e">
        <f t="shared" si="24"/>
        <v>#DIV/0!</v>
      </c>
      <c r="AI94" s="19">
        <f t="shared" si="25"/>
        <v>0</v>
      </c>
      <c r="AJ94" s="78" t="e">
        <f t="shared" si="26"/>
        <v>#DIV/0!</v>
      </c>
      <c r="AK94" s="19">
        <f t="shared" si="27"/>
        <v>0</v>
      </c>
      <c r="AL94" s="78" t="e">
        <f t="shared" si="28"/>
        <v>#DIV/0!</v>
      </c>
    </row>
    <row r="95" spans="1:38">
      <c r="A95" t="s">
        <v>39</v>
      </c>
      <c r="B95" s="79" t="s">
        <v>38</v>
      </c>
      <c r="C95" s="80" t="s">
        <v>49</v>
      </c>
      <c r="D95" s="81" t="s">
        <v>44</v>
      </c>
      <c r="E95" s="19">
        <v>1341.3330000000001</v>
      </c>
      <c r="F95" s="74">
        <v>29073723.82</v>
      </c>
      <c r="G95" s="19">
        <v>1151.505000000001</v>
      </c>
      <c r="H95" s="74">
        <v>24820280.84</v>
      </c>
      <c r="I95" s="19">
        <v>1147.1700000000003</v>
      </c>
      <c r="J95" s="74">
        <v>26277154.759999983</v>
      </c>
      <c r="K95" s="19">
        <v>729.75199999999984</v>
      </c>
      <c r="L95" s="74">
        <v>17071730.379999995</v>
      </c>
      <c r="M95" s="19">
        <v>578.42499999999961</v>
      </c>
      <c r="N95" s="74">
        <v>13676682.739999998</v>
      </c>
      <c r="O95" s="19">
        <v>639.24900000000014</v>
      </c>
      <c r="P95" s="74">
        <v>15578750.879999992</v>
      </c>
      <c r="Q95" s="19">
        <v>785.58699999999988</v>
      </c>
      <c r="R95" s="74">
        <v>19120574.080000002</v>
      </c>
      <c r="S95" s="19"/>
      <c r="T95" s="74"/>
      <c r="U95" s="19"/>
      <c r="V95" s="74"/>
      <c r="W95" s="19"/>
      <c r="X95" s="74"/>
      <c r="Y95" s="19"/>
      <c r="Z95" s="74"/>
      <c r="AA95" s="19"/>
      <c r="AB95" s="74"/>
      <c r="AC95" s="49">
        <f t="shared" si="19"/>
        <v>6373.0210000000006</v>
      </c>
      <c r="AD95" s="73">
        <f t="shared" si="20"/>
        <v>145618897.49999997</v>
      </c>
      <c r="AE95" s="19">
        <f t="shared" si="21"/>
        <v>3640.0080000000016</v>
      </c>
      <c r="AF95" s="78">
        <f t="shared" si="22"/>
        <v>56733.043027396125</v>
      </c>
      <c r="AG95" s="19">
        <f t="shared" si="23"/>
        <v>1947.4259999999995</v>
      </c>
      <c r="AH95" t="e">
        <f t="shared" si="24"/>
        <v>#DIV/0!</v>
      </c>
      <c r="AI95" s="19">
        <f t="shared" si="25"/>
        <v>785.58699999999988</v>
      </c>
      <c r="AJ95" s="78" t="e">
        <f t="shared" si="26"/>
        <v>#DIV/0!</v>
      </c>
      <c r="AK95" s="19">
        <f t="shared" si="27"/>
        <v>0</v>
      </c>
      <c r="AL95" s="78" t="e">
        <f t="shared" si="28"/>
        <v>#DIV/0!</v>
      </c>
    </row>
    <row r="96" spans="1:38">
      <c r="A96" t="s">
        <v>54</v>
      </c>
      <c r="B96" s="79" t="s">
        <v>38</v>
      </c>
      <c r="C96" s="80" t="s">
        <v>49</v>
      </c>
      <c r="D96" s="81" t="s">
        <v>44</v>
      </c>
      <c r="E96" s="19">
        <v>206.16800000000001</v>
      </c>
      <c r="F96" s="74">
        <v>4692705.6999999993</v>
      </c>
      <c r="G96" s="19">
        <v>488.08599999999979</v>
      </c>
      <c r="H96" s="74">
        <v>10748359.49</v>
      </c>
      <c r="I96" s="19">
        <v>300.33200000000005</v>
      </c>
      <c r="J96" s="74">
        <v>6452272.71</v>
      </c>
      <c r="K96" s="19">
        <v>159.42000000000002</v>
      </c>
      <c r="L96" s="74">
        <v>3669850.86</v>
      </c>
      <c r="M96" s="19">
        <v>78.252000000000024</v>
      </c>
      <c r="N96" s="74">
        <v>1771905.7799999998</v>
      </c>
      <c r="O96" s="19">
        <v>46.667000000000002</v>
      </c>
      <c r="P96" s="74">
        <v>1157437.49</v>
      </c>
      <c r="Q96" s="19"/>
      <c r="R96" s="74"/>
      <c r="S96" s="19"/>
      <c r="T96" s="74"/>
      <c r="U96" s="19"/>
      <c r="V96" s="74"/>
      <c r="W96" s="19"/>
      <c r="X96" s="74"/>
      <c r="Y96" s="19"/>
      <c r="Z96" s="74"/>
      <c r="AA96" s="19"/>
      <c r="AB96" s="74"/>
      <c r="AC96" s="49">
        <f t="shared" si="19"/>
        <v>1278.9249999999997</v>
      </c>
      <c r="AD96" s="73">
        <f t="shared" si="20"/>
        <v>28492532.029999997</v>
      </c>
      <c r="AE96" s="19">
        <f t="shared" si="21"/>
        <v>994.58599999999979</v>
      </c>
      <c r="AF96" s="78">
        <f t="shared" si="22"/>
        <v>15492.799281934376</v>
      </c>
      <c r="AG96" s="19">
        <f t="shared" si="23"/>
        <v>284.33900000000006</v>
      </c>
      <c r="AH96" t="e">
        <f t="shared" si="24"/>
        <v>#DIV/0!</v>
      </c>
      <c r="AI96" s="19">
        <f t="shared" si="25"/>
        <v>0</v>
      </c>
      <c r="AJ96" s="78" t="e">
        <f t="shared" si="26"/>
        <v>#DIV/0!</v>
      </c>
      <c r="AK96" s="19">
        <f t="shared" si="27"/>
        <v>0</v>
      </c>
      <c r="AL96" s="78" t="e">
        <f t="shared" si="28"/>
        <v>#DIV/0!</v>
      </c>
    </row>
    <row r="97" spans="1:38">
      <c r="A97" t="s">
        <v>55</v>
      </c>
      <c r="B97" s="79" t="s">
        <v>38</v>
      </c>
      <c r="C97" s="80" t="s">
        <v>49</v>
      </c>
      <c r="D97" s="81" t="s">
        <v>44</v>
      </c>
      <c r="E97" s="19">
        <v>5.0830000000000002</v>
      </c>
      <c r="F97" s="74">
        <v>120385.75</v>
      </c>
      <c r="G97" s="19">
        <v>3.25</v>
      </c>
      <c r="H97" s="74">
        <v>64377.11</v>
      </c>
      <c r="I97" s="19">
        <v>2</v>
      </c>
      <c r="J97" s="74">
        <v>41494.32</v>
      </c>
      <c r="K97" s="19">
        <v>0.33300000000000002</v>
      </c>
      <c r="L97" s="74">
        <v>26152.12</v>
      </c>
      <c r="M97" s="19">
        <v>0.25</v>
      </c>
      <c r="N97" s="74">
        <v>12858.119999999999</v>
      </c>
      <c r="O97" s="19">
        <v>0.66700000000000004</v>
      </c>
      <c r="P97" s="74">
        <v>27024.240000000002</v>
      </c>
      <c r="Q97" s="19"/>
      <c r="R97" s="74"/>
      <c r="S97" s="19"/>
      <c r="T97" s="74"/>
      <c r="U97" s="19"/>
      <c r="V97" s="74"/>
      <c r="W97" s="19"/>
      <c r="X97" s="74"/>
      <c r="Y97" s="19"/>
      <c r="Z97" s="74"/>
      <c r="AA97" s="19"/>
      <c r="AB97" s="74"/>
      <c r="AC97" s="49">
        <f t="shared" si="19"/>
        <v>11.583</v>
      </c>
      <c r="AD97" s="73">
        <f t="shared" si="20"/>
        <v>292291.65999999997</v>
      </c>
      <c r="AE97" s="19">
        <f t="shared" si="21"/>
        <v>10.333</v>
      </c>
      <c r="AF97" s="78">
        <f t="shared" si="22"/>
        <v>160.11067347736395</v>
      </c>
      <c r="AG97" s="19">
        <f t="shared" si="23"/>
        <v>1.25</v>
      </c>
      <c r="AH97" t="e">
        <f t="shared" si="24"/>
        <v>#DIV/0!</v>
      </c>
      <c r="AI97" s="19">
        <f t="shared" si="25"/>
        <v>0</v>
      </c>
      <c r="AJ97" s="78" t="e">
        <f t="shared" si="26"/>
        <v>#DIV/0!</v>
      </c>
      <c r="AK97" s="19">
        <f t="shared" si="27"/>
        <v>0</v>
      </c>
      <c r="AL97" s="78" t="e">
        <f t="shared" si="28"/>
        <v>#DIV/0!</v>
      </c>
    </row>
    <row r="98" spans="1:38">
      <c r="A98" t="s">
        <v>143</v>
      </c>
      <c r="B98" s="79" t="s">
        <v>38</v>
      </c>
      <c r="C98" s="80" t="s">
        <v>49</v>
      </c>
      <c r="D98" s="81" t="s">
        <v>44</v>
      </c>
      <c r="E98" s="19"/>
      <c r="F98" s="74"/>
      <c r="G98" s="19"/>
      <c r="H98" s="74"/>
      <c r="I98" s="19">
        <v>172.5</v>
      </c>
      <c r="J98" s="74">
        <v>4546827.87</v>
      </c>
      <c r="K98" s="19"/>
      <c r="L98" s="74"/>
      <c r="M98" s="19">
        <v>147</v>
      </c>
      <c r="N98" s="74">
        <v>4071588.66</v>
      </c>
      <c r="O98" s="19"/>
      <c r="P98" s="74"/>
      <c r="Q98" s="19">
        <v>186</v>
      </c>
      <c r="R98" s="74">
        <v>5223202.9799999995</v>
      </c>
      <c r="S98" s="19"/>
      <c r="T98" s="74"/>
      <c r="U98" s="19"/>
      <c r="V98" s="74"/>
      <c r="W98" s="19"/>
      <c r="X98" s="74"/>
      <c r="Y98" s="19"/>
      <c r="Z98" s="74"/>
      <c r="AA98" s="19"/>
      <c r="AB98" s="74"/>
      <c r="AC98" s="49">
        <f t="shared" si="19"/>
        <v>505.5</v>
      </c>
      <c r="AD98" s="73">
        <f t="shared" si="20"/>
        <v>13841619.510000002</v>
      </c>
      <c r="AE98" s="19">
        <f t="shared" si="21"/>
        <v>172.5</v>
      </c>
      <c r="AF98" s="78">
        <f t="shared" si="22"/>
        <v>3217.558322133018</v>
      </c>
      <c r="AG98" s="19">
        <f t="shared" si="23"/>
        <v>147</v>
      </c>
      <c r="AH98" t="e">
        <f t="shared" si="24"/>
        <v>#DIV/0!</v>
      </c>
      <c r="AI98" s="19">
        <f t="shared" si="25"/>
        <v>186</v>
      </c>
      <c r="AJ98" s="78" t="e">
        <f t="shared" si="26"/>
        <v>#DIV/0!</v>
      </c>
      <c r="AK98" s="19">
        <f t="shared" si="27"/>
        <v>0</v>
      </c>
      <c r="AL98" s="78" t="e">
        <f t="shared" si="28"/>
        <v>#DIV/0!</v>
      </c>
    </row>
    <row r="99" spans="1:38">
      <c r="A99" t="s">
        <v>154</v>
      </c>
      <c r="B99" s="79" t="s">
        <v>38</v>
      </c>
      <c r="C99" s="80" t="s">
        <v>49</v>
      </c>
      <c r="D99" s="81" t="s">
        <v>44</v>
      </c>
      <c r="E99" s="19"/>
      <c r="F99" s="74"/>
      <c r="G99" s="19"/>
      <c r="H99" s="74"/>
      <c r="I99" s="19"/>
      <c r="J99" s="74"/>
      <c r="K99" s="19">
        <v>192</v>
      </c>
      <c r="L99" s="74">
        <v>5205648.120000001</v>
      </c>
      <c r="M99" s="19"/>
      <c r="N99" s="74"/>
      <c r="O99" s="19"/>
      <c r="P99" s="74"/>
      <c r="Q99" s="19"/>
      <c r="R99" s="74"/>
      <c r="S99" s="19"/>
      <c r="T99" s="74"/>
      <c r="U99" s="19"/>
      <c r="V99" s="74"/>
      <c r="W99" s="19"/>
      <c r="X99" s="74"/>
      <c r="Y99" s="19"/>
      <c r="Z99" s="74"/>
      <c r="AA99" s="19"/>
      <c r="AB99" s="74"/>
      <c r="AC99" s="49">
        <f t="shared" si="19"/>
        <v>192</v>
      </c>
      <c r="AD99" s="73">
        <f t="shared" si="20"/>
        <v>5205648.120000001</v>
      </c>
      <c r="AE99" s="19">
        <f t="shared" si="21"/>
        <v>0</v>
      </c>
      <c r="AF99" s="78">
        <f t="shared" si="22"/>
        <v>0</v>
      </c>
      <c r="AG99" s="19">
        <f t="shared" si="23"/>
        <v>192</v>
      </c>
      <c r="AH99" t="e">
        <f t="shared" si="24"/>
        <v>#DIV/0!</v>
      </c>
      <c r="AI99" s="19">
        <f t="shared" si="25"/>
        <v>0</v>
      </c>
      <c r="AJ99" s="78" t="e">
        <f t="shared" si="26"/>
        <v>#DIV/0!</v>
      </c>
      <c r="AK99" s="19">
        <f t="shared" si="27"/>
        <v>0</v>
      </c>
      <c r="AL99" s="78" t="e">
        <f t="shared" si="28"/>
        <v>#DIV/0!</v>
      </c>
    </row>
    <row r="100" spans="1:38">
      <c r="A100" t="s">
        <v>123</v>
      </c>
      <c r="B100" s="79" t="s">
        <v>38</v>
      </c>
      <c r="C100" s="80" t="s">
        <v>49</v>
      </c>
      <c r="D100" s="81" t="s">
        <v>44</v>
      </c>
      <c r="E100" s="19"/>
      <c r="F100" s="74"/>
      <c r="G100" s="19">
        <v>428</v>
      </c>
      <c r="H100" s="74">
        <v>9265185.5399999991</v>
      </c>
      <c r="I100" s="19">
        <v>678</v>
      </c>
      <c r="J100" s="74">
        <v>17808160.679999996</v>
      </c>
      <c r="K100" s="19">
        <v>789.75</v>
      </c>
      <c r="L100" s="74">
        <v>21098831.219999999</v>
      </c>
      <c r="M100" s="19"/>
      <c r="N100" s="74"/>
      <c r="O100" s="19"/>
      <c r="P100" s="74"/>
      <c r="Q100" s="19"/>
      <c r="R100" s="74"/>
      <c r="S100" s="19"/>
      <c r="T100" s="74"/>
      <c r="U100" s="19"/>
      <c r="V100" s="74"/>
      <c r="W100" s="19"/>
      <c r="X100" s="74"/>
      <c r="Y100" s="19"/>
      <c r="Z100" s="74"/>
      <c r="AA100" s="19"/>
      <c r="AB100" s="74"/>
      <c r="AC100" s="49">
        <f t="shared" si="19"/>
        <v>1895.75</v>
      </c>
      <c r="AD100" s="73">
        <f t="shared" si="20"/>
        <v>48172177.43999999</v>
      </c>
      <c r="AE100" s="19">
        <f t="shared" si="21"/>
        <v>1106</v>
      </c>
      <c r="AF100" s="78">
        <f t="shared" si="22"/>
        <v>19158.427133981095</v>
      </c>
      <c r="AG100" s="19">
        <f t="shared" si="23"/>
        <v>789.75</v>
      </c>
      <c r="AH100" t="e">
        <f t="shared" si="24"/>
        <v>#DIV/0!</v>
      </c>
      <c r="AI100" s="19">
        <f t="shared" si="25"/>
        <v>0</v>
      </c>
      <c r="AJ100" s="78" t="e">
        <f t="shared" si="26"/>
        <v>#DIV/0!</v>
      </c>
      <c r="AK100" s="19">
        <f t="shared" si="27"/>
        <v>0</v>
      </c>
      <c r="AL100" s="78" t="e">
        <f t="shared" si="28"/>
        <v>#DIV/0!</v>
      </c>
    </row>
    <row r="101" spans="1:38">
      <c r="A101" t="s">
        <v>64</v>
      </c>
      <c r="B101" s="79" t="s">
        <v>38</v>
      </c>
      <c r="C101" s="80" t="s">
        <v>49</v>
      </c>
      <c r="D101" s="81" t="s">
        <v>44</v>
      </c>
      <c r="E101" s="19">
        <v>47</v>
      </c>
      <c r="F101" s="74">
        <v>1016050.1799999999</v>
      </c>
      <c r="G101" s="19"/>
      <c r="H101" s="74"/>
      <c r="I101" s="19"/>
      <c r="J101" s="74"/>
      <c r="K101" s="19">
        <v>137</v>
      </c>
      <c r="L101" s="74">
        <v>3713281.95</v>
      </c>
      <c r="M101" s="19"/>
      <c r="N101" s="74"/>
      <c r="O101" s="19"/>
      <c r="P101" s="74"/>
      <c r="Q101" s="19"/>
      <c r="R101" s="74"/>
      <c r="S101" s="19"/>
      <c r="T101" s="74"/>
      <c r="U101" s="19"/>
      <c r="V101" s="74"/>
      <c r="W101" s="19"/>
      <c r="X101" s="74"/>
      <c r="Y101" s="19"/>
      <c r="Z101" s="74"/>
      <c r="AA101" s="19"/>
      <c r="AB101" s="74"/>
      <c r="AC101" s="49">
        <f t="shared" si="19"/>
        <v>184</v>
      </c>
      <c r="AD101" s="73">
        <f t="shared" si="20"/>
        <v>4729332.13</v>
      </c>
      <c r="AE101" s="19">
        <f t="shared" si="21"/>
        <v>47</v>
      </c>
      <c r="AF101" s="78">
        <f t="shared" si="22"/>
        <v>719.00692215202571</v>
      </c>
      <c r="AG101" s="19">
        <f t="shared" si="23"/>
        <v>137</v>
      </c>
      <c r="AH101" t="e">
        <f t="shared" si="24"/>
        <v>#DIV/0!</v>
      </c>
      <c r="AI101" s="19">
        <f t="shared" si="25"/>
        <v>0</v>
      </c>
      <c r="AJ101" s="78" t="e">
        <f t="shared" si="26"/>
        <v>#DIV/0!</v>
      </c>
      <c r="AK101" s="19">
        <f t="shared" si="27"/>
        <v>0</v>
      </c>
      <c r="AL101" s="78" t="e">
        <f t="shared" si="28"/>
        <v>#DIV/0!</v>
      </c>
    </row>
    <row r="102" spans="1:38">
      <c r="A102" t="s">
        <v>169</v>
      </c>
      <c r="B102" s="79" t="s">
        <v>38</v>
      </c>
      <c r="C102" s="80" t="s">
        <v>49</v>
      </c>
      <c r="D102" s="81" t="s">
        <v>44</v>
      </c>
      <c r="E102" s="19"/>
      <c r="F102" s="74"/>
      <c r="G102" s="19"/>
      <c r="H102" s="74"/>
      <c r="I102" s="19"/>
      <c r="J102" s="74"/>
      <c r="K102" s="19"/>
      <c r="L102" s="74"/>
      <c r="M102" s="19"/>
      <c r="N102" s="74"/>
      <c r="O102" s="19">
        <v>34</v>
      </c>
      <c r="P102" s="74">
        <v>978396.00000000012</v>
      </c>
      <c r="Q102" s="19"/>
      <c r="R102" s="74"/>
      <c r="S102" s="19"/>
      <c r="T102" s="74"/>
      <c r="U102" s="19"/>
      <c r="V102" s="74"/>
      <c r="W102" s="19"/>
      <c r="X102" s="74"/>
      <c r="Y102" s="19"/>
      <c r="Z102" s="74"/>
      <c r="AA102" s="19"/>
      <c r="AB102" s="74"/>
      <c r="AC102" s="49">
        <f t="shared" si="19"/>
        <v>34</v>
      </c>
      <c r="AD102" s="73">
        <f t="shared" si="20"/>
        <v>978396.00000000012</v>
      </c>
      <c r="AE102" s="19">
        <f t="shared" si="21"/>
        <v>0</v>
      </c>
      <c r="AF102" s="78">
        <f t="shared" si="22"/>
        <v>0</v>
      </c>
      <c r="AG102" s="19">
        <f t="shared" si="23"/>
        <v>34</v>
      </c>
      <c r="AH102" t="e">
        <f t="shared" si="24"/>
        <v>#DIV/0!</v>
      </c>
      <c r="AI102" s="19">
        <f t="shared" si="25"/>
        <v>0</v>
      </c>
      <c r="AJ102" s="78" t="e">
        <f t="shared" si="26"/>
        <v>#DIV/0!</v>
      </c>
      <c r="AK102" s="19">
        <f t="shared" si="27"/>
        <v>0</v>
      </c>
      <c r="AL102" s="78" t="e">
        <f t="shared" si="28"/>
        <v>#DIV/0!</v>
      </c>
    </row>
    <row r="103" spans="1:38">
      <c r="A103" t="s">
        <v>171</v>
      </c>
      <c r="B103" s="79" t="s">
        <v>38</v>
      </c>
      <c r="C103" s="80" t="s">
        <v>49</v>
      </c>
      <c r="D103" s="81" t="s">
        <v>44</v>
      </c>
      <c r="E103" s="19"/>
      <c r="F103" s="74"/>
      <c r="G103" s="19"/>
      <c r="H103" s="74"/>
      <c r="I103" s="19"/>
      <c r="J103" s="74"/>
      <c r="K103" s="19"/>
      <c r="L103" s="74"/>
      <c r="M103" s="19"/>
      <c r="N103" s="74"/>
      <c r="O103" s="19"/>
      <c r="P103" s="74"/>
      <c r="Q103" s="19">
        <v>20</v>
      </c>
      <c r="R103" s="74">
        <v>524269.2</v>
      </c>
      <c r="S103" s="19"/>
      <c r="T103" s="74"/>
      <c r="U103" s="19"/>
      <c r="V103" s="74"/>
      <c r="W103" s="19"/>
      <c r="X103" s="74"/>
      <c r="Y103" s="19"/>
      <c r="Z103" s="74"/>
      <c r="AA103" s="19"/>
      <c r="AB103" s="74"/>
      <c r="AC103" s="49">
        <f t="shared" si="19"/>
        <v>20</v>
      </c>
      <c r="AD103" s="73">
        <f t="shared" si="20"/>
        <v>524269.2</v>
      </c>
      <c r="AE103" s="19">
        <f t="shared" si="21"/>
        <v>0</v>
      </c>
      <c r="AF103" s="78">
        <f t="shared" si="22"/>
        <v>0</v>
      </c>
      <c r="AG103" s="19">
        <f t="shared" si="23"/>
        <v>0</v>
      </c>
      <c r="AH103" t="e">
        <f t="shared" si="24"/>
        <v>#DIV/0!</v>
      </c>
      <c r="AI103" s="19">
        <f t="shared" si="25"/>
        <v>20</v>
      </c>
      <c r="AJ103" s="78" t="e">
        <f t="shared" si="26"/>
        <v>#DIV/0!</v>
      </c>
      <c r="AK103" s="19">
        <f t="shared" si="27"/>
        <v>0</v>
      </c>
      <c r="AL103" s="78" t="e">
        <f t="shared" si="28"/>
        <v>#DIV/0!</v>
      </c>
    </row>
    <row r="104" spans="1:38">
      <c r="A104" t="s">
        <v>124</v>
      </c>
      <c r="B104" s="79" t="s">
        <v>40</v>
      </c>
      <c r="C104" s="80" t="s">
        <v>49</v>
      </c>
      <c r="D104" s="81" t="s">
        <v>44</v>
      </c>
      <c r="E104" s="19"/>
      <c r="F104" s="74"/>
      <c r="G104" s="19">
        <v>1131</v>
      </c>
      <c r="H104" s="74">
        <v>22493181.27</v>
      </c>
      <c r="I104" s="19">
        <v>225</v>
      </c>
      <c r="J104" s="74">
        <v>4867293.1300000036</v>
      </c>
      <c r="K104" s="19">
        <v>719.5</v>
      </c>
      <c r="L104" s="74">
        <v>14011887.85</v>
      </c>
      <c r="M104" s="19">
        <v>534</v>
      </c>
      <c r="N104" s="74">
        <v>10637664.659999996</v>
      </c>
      <c r="O104" s="19">
        <v>344</v>
      </c>
      <c r="P104" s="74">
        <v>8355588.0600000005</v>
      </c>
      <c r="Q104" s="19"/>
      <c r="R104" s="74"/>
      <c r="S104" s="19"/>
      <c r="T104" s="74"/>
      <c r="U104" s="19"/>
      <c r="V104" s="74"/>
      <c r="W104" s="19"/>
      <c r="X104" s="74"/>
      <c r="Y104" s="19"/>
      <c r="Z104" s="74"/>
      <c r="AA104" s="19"/>
      <c r="AB104" s="74"/>
      <c r="AC104" s="49">
        <f t="shared" si="19"/>
        <v>2953.5</v>
      </c>
      <c r="AD104" s="73">
        <f>AB104+Z104+X104+V104+T104+R104+P104+N104+L104+J104+H104+F104</f>
        <v>60365614.969999999</v>
      </c>
      <c r="AE104" s="19">
        <f t="shared" si="21"/>
        <v>1356</v>
      </c>
      <c r="AF104" s="78">
        <f>(F104+H104+J104)/$AF$4</f>
        <v>19361.613111434413</v>
      </c>
      <c r="AG104" s="19">
        <f t="shared" si="23"/>
        <v>1597.5</v>
      </c>
      <c r="AH104" t="e">
        <f t="shared" si="24"/>
        <v>#DIV/0!</v>
      </c>
      <c r="AI104" s="19">
        <f t="shared" si="25"/>
        <v>0</v>
      </c>
      <c r="AJ104" s="78" t="e">
        <f t="shared" si="26"/>
        <v>#DIV/0!</v>
      </c>
      <c r="AK104" s="19">
        <f t="shared" si="27"/>
        <v>0</v>
      </c>
      <c r="AL104" s="78" t="e">
        <f t="shared" si="28"/>
        <v>#DIV/0!</v>
      </c>
    </row>
    <row r="105" spans="1:38">
      <c r="A105" t="s">
        <v>125</v>
      </c>
      <c r="B105" s="79" t="s">
        <v>40</v>
      </c>
      <c r="C105" s="80" t="s">
        <v>49</v>
      </c>
      <c r="D105" s="81" t="s">
        <v>44</v>
      </c>
      <c r="E105" s="19"/>
      <c r="F105" s="74"/>
      <c r="G105" s="19">
        <v>401</v>
      </c>
      <c r="H105" s="74">
        <v>9714765.7799999919</v>
      </c>
      <c r="I105" s="19">
        <v>374.5</v>
      </c>
      <c r="J105" s="74">
        <v>9414705.6000000015</v>
      </c>
      <c r="K105" s="19">
        <v>936.5</v>
      </c>
      <c r="L105" s="74">
        <v>26148164.579999987</v>
      </c>
      <c r="M105" s="19">
        <v>444.5</v>
      </c>
      <c r="N105" s="74">
        <v>9981292.4999999981</v>
      </c>
      <c r="O105" s="19">
        <v>2036</v>
      </c>
      <c r="P105" s="74">
        <v>53707970.700000025</v>
      </c>
      <c r="Q105" s="19">
        <v>903.5</v>
      </c>
      <c r="R105" s="74">
        <v>26714983.140000004</v>
      </c>
      <c r="S105" s="19"/>
      <c r="T105" s="74"/>
      <c r="U105" s="19"/>
      <c r="V105" s="74"/>
      <c r="W105" s="19"/>
      <c r="X105" s="74"/>
      <c r="Y105" s="19"/>
      <c r="Z105" s="74"/>
      <c r="AA105" s="19"/>
      <c r="AB105" s="74"/>
      <c r="AC105" s="49">
        <f>AA105+Y105+W105+U105+S105+Q105+O105+M105+K105+I105+G105+E105</f>
        <v>5096</v>
      </c>
      <c r="AD105" s="73">
        <f t="shared" si="20"/>
        <v>135681882.30000001</v>
      </c>
      <c r="AE105" s="19">
        <f>E105+G105+I105</f>
        <v>775.5</v>
      </c>
      <c r="AF105" s="78">
        <f t="shared" si="22"/>
        <v>13536.951825872478</v>
      </c>
      <c r="AG105" s="19">
        <f t="shared" si="23"/>
        <v>3417</v>
      </c>
      <c r="AH105" t="e">
        <f t="shared" si="24"/>
        <v>#DIV/0!</v>
      </c>
      <c r="AI105" s="19">
        <f t="shared" si="25"/>
        <v>903.5</v>
      </c>
      <c r="AJ105" s="78" t="e">
        <f t="shared" si="26"/>
        <v>#DIV/0!</v>
      </c>
      <c r="AK105" s="19">
        <f t="shared" si="27"/>
        <v>0</v>
      </c>
      <c r="AL105" s="78" t="e">
        <f t="shared" si="28"/>
        <v>#DIV/0!</v>
      </c>
    </row>
    <row r="106" spans="1:38">
      <c r="A106" t="s">
        <v>70</v>
      </c>
      <c r="B106" s="79" t="s">
        <v>40</v>
      </c>
      <c r="C106" s="80" t="s">
        <v>49</v>
      </c>
      <c r="D106" s="81" t="s">
        <v>44</v>
      </c>
      <c r="E106" s="19">
        <v>39</v>
      </c>
      <c r="F106" s="74">
        <v>1008539.9999999998</v>
      </c>
      <c r="G106" s="19"/>
      <c r="H106" s="74"/>
      <c r="I106" s="19"/>
      <c r="J106" s="74"/>
      <c r="K106" s="19">
        <v>33.5</v>
      </c>
      <c r="L106" s="74">
        <v>934399.20000000007</v>
      </c>
      <c r="M106" s="19"/>
      <c r="N106" s="74"/>
      <c r="O106" s="19"/>
      <c r="P106" s="74"/>
      <c r="Q106" s="19"/>
      <c r="R106" s="74"/>
      <c r="S106" s="19"/>
      <c r="T106" s="74"/>
      <c r="U106" s="19"/>
      <c r="V106" s="74"/>
      <c r="W106" s="19"/>
      <c r="X106" s="74"/>
      <c r="Y106" s="19"/>
      <c r="Z106" s="74"/>
      <c r="AA106" s="19"/>
      <c r="AB106" s="74"/>
      <c r="AC106" s="49">
        <f t="shared" si="19"/>
        <v>72.5</v>
      </c>
      <c r="AD106" s="73">
        <f t="shared" si="20"/>
        <v>1942939.1999999997</v>
      </c>
      <c r="AE106" s="19">
        <f t="shared" si="21"/>
        <v>39</v>
      </c>
      <c r="AF106" s="78">
        <f t="shared" si="22"/>
        <v>713.69235057583853</v>
      </c>
      <c r="AG106" s="19">
        <f t="shared" si="23"/>
        <v>33.5</v>
      </c>
      <c r="AH106" t="e">
        <f t="shared" si="24"/>
        <v>#DIV/0!</v>
      </c>
      <c r="AI106" s="19">
        <f t="shared" si="25"/>
        <v>0</v>
      </c>
      <c r="AJ106" s="78" t="e">
        <f t="shared" si="26"/>
        <v>#DIV/0!</v>
      </c>
      <c r="AK106" s="19">
        <f t="shared" si="27"/>
        <v>0</v>
      </c>
      <c r="AL106" s="78" t="e">
        <f t="shared" si="28"/>
        <v>#DIV/0!</v>
      </c>
    </row>
    <row r="107" spans="1:38">
      <c r="A107" t="s">
        <v>155</v>
      </c>
      <c r="B107" s="79" t="s">
        <v>40</v>
      </c>
      <c r="C107" s="80" t="s">
        <v>49</v>
      </c>
      <c r="D107" s="81" t="s">
        <v>44</v>
      </c>
      <c r="E107" s="19"/>
      <c r="F107" s="74"/>
      <c r="G107" s="19"/>
      <c r="H107" s="74"/>
      <c r="I107" s="19"/>
      <c r="J107" s="74"/>
      <c r="K107" s="19">
        <v>1107.5</v>
      </c>
      <c r="L107" s="74">
        <v>28486298.16</v>
      </c>
      <c r="M107" s="19"/>
      <c r="N107" s="74"/>
      <c r="O107" s="19"/>
      <c r="P107" s="74"/>
      <c r="Q107" s="19"/>
      <c r="R107" s="74"/>
      <c r="S107" s="19"/>
      <c r="T107" s="74"/>
      <c r="U107" s="19"/>
      <c r="V107" s="74"/>
      <c r="W107" s="19"/>
      <c r="X107" s="74"/>
      <c r="Y107" s="19"/>
      <c r="Z107" s="74"/>
      <c r="AA107" s="19"/>
      <c r="AB107" s="74"/>
      <c r="AC107" s="49">
        <f t="shared" si="19"/>
        <v>1107.5</v>
      </c>
      <c r="AD107" s="73">
        <f t="shared" si="20"/>
        <v>28486298.16</v>
      </c>
      <c r="AE107" s="19">
        <f t="shared" si="21"/>
        <v>0</v>
      </c>
      <c r="AF107" s="78">
        <f t="shared" si="22"/>
        <v>0</v>
      </c>
      <c r="AG107" s="19">
        <f t="shared" si="23"/>
        <v>1107.5</v>
      </c>
      <c r="AH107" t="e">
        <f t="shared" si="24"/>
        <v>#DIV/0!</v>
      </c>
      <c r="AI107" s="19">
        <f t="shared" si="25"/>
        <v>0</v>
      </c>
      <c r="AJ107" s="78" t="e">
        <f t="shared" si="26"/>
        <v>#DIV/0!</v>
      </c>
      <c r="AK107" s="19">
        <f t="shared" si="27"/>
        <v>0</v>
      </c>
      <c r="AL107" s="78" t="e">
        <f t="shared" si="28"/>
        <v>#DIV/0!</v>
      </c>
    </row>
    <row r="108" spans="1:38">
      <c r="A108" t="s">
        <v>65</v>
      </c>
      <c r="B108" s="79" t="s">
        <v>40</v>
      </c>
      <c r="C108" s="80" t="s">
        <v>49</v>
      </c>
      <c r="D108" s="81" t="s">
        <v>44</v>
      </c>
      <c r="E108" s="19">
        <v>114.5</v>
      </c>
      <c r="F108" s="74">
        <v>2400541.3199999994</v>
      </c>
      <c r="G108" s="19"/>
      <c r="H108" s="74"/>
      <c r="I108" s="19"/>
      <c r="J108" s="74"/>
      <c r="K108" s="19"/>
      <c r="L108" s="74"/>
      <c r="M108" s="19"/>
      <c r="N108" s="74"/>
      <c r="O108" s="19"/>
      <c r="P108" s="74"/>
      <c r="Q108" s="19"/>
      <c r="R108" s="74"/>
      <c r="S108" s="19"/>
      <c r="T108" s="74"/>
      <c r="U108" s="19"/>
      <c r="V108" s="74"/>
      <c r="W108" s="19"/>
      <c r="X108" s="74"/>
      <c r="Y108" s="19"/>
      <c r="Z108" s="74"/>
      <c r="AA108" s="19"/>
      <c r="AB108" s="74"/>
      <c r="AC108" s="49">
        <f t="shared" si="19"/>
        <v>114.5</v>
      </c>
      <c r="AD108" s="73">
        <f t="shared" si="20"/>
        <v>2400541.3199999994</v>
      </c>
      <c r="AE108" s="19">
        <f t="shared" si="21"/>
        <v>114.5</v>
      </c>
      <c r="AF108" s="78">
        <f t="shared" si="22"/>
        <v>1698.7407314784007</v>
      </c>
      <c r="AG108" s="19">
        <f t="shared" si="23"/>
        <v>0</v>
      </c>
      <c r="AH108" t="e">
        <f t="shared" si="24"/>
        <v>#DIV/0!</v>
      </c>
      <c r="AI108" s="19">
        <f t="shared" si="25"/>
        <v>0</v>
      </c>
      <c r="AJ108" s="78" t="e">
        <f t="shared" si="26"/>
        <v>#DIV/0!</v>
      </c>
      <c r="AK108" s="19">
        <f t="shared" si="27"/>
        <v>0</v>
      </c>
      <c r="AL108" s="78" t="e">
        <f t="shared" si="28"/>
        <v>#DIV/0!</v>
      </c>
    </row>
    <row r="109" spans="1:38">
      <c r="A109" t="s">
        <v>126</v>
      </c>
      <c r="B109" s="79" t="s">
        <v>40</v>
      </c>
      <c r="C109" s="80" t="s">
        <v>49</v>
      </c>
      <c r="D109" s="81" t="s">
        <v>44</v>
      </c>
      <c r="E109" s="19"/>
      <c r="F109" s="74"/>
      <c r="G109" s="19">
        <v>82</v>
      </c>
      <c r="H109" s="74">
        <v>1692786.5999999999</v>
      </c>
      <c r="I109" s="19">
        <v>52.5</v>
      </c>
      <c r="J109" s="74">
        <v>1427896.2</v>
      </c>
      <c r="K109" s="19">
        <v>42.5</v>
      </c>
      <c r="L109" s="74">
        <v>1235608.8</v>
      </c>
      <c r="M109" s="19">
        <v>54</v>
      </c>
      <c r="N109" s="74">
        <v>1473738</v>
      </c>
      <c r="O109" s="19">
        <v>28</v>
      </c>
      <c r="P109" s="74">
        <v>867633.6</v>
      </c>
      <c r="Q109" s="19"/>
      <c r="R109" s="74"/>
      <c r="S109" s="19"/>
      <c r="T109" s="74"/>
      <c r="U109" s="19"/>
      <c r="V109" s="74"/>
      <c r="W109" s="19"/>
      <c r="X109" s="74"/>
      <c r="Y109" s="19"/>
      <c r="Z109" s="74"/>
      <c r="AA109" s="19"/>
      <c r="AB109" s="74"/>
      <c r="AC109" s="49">
        <f t="shared" ref="AC109" si="29">AA109+Y109+W109+U109+S109+Q109+O109+M109+K109+I109+G109+E109</f>
        <v>259</v>
      </c>
      <c r="AD109" s="73">
        <f t="shared" ref="AD109" si="30">AB109+Z109+X109+V109+T109+R109+P109+N109+L109+J109+H109+F109</f>
        <v>6697663.2000000002</v>
      </c>
      <c r="AE109" s="19">
        <f t="shared" si="21"/>
        <v>134.5</v>
      </c>
      <c r="AF109" s="78">
        <f t="shared" si="22"/>
        <v>2208.3481497348544</v>
      </c>
      <c r="AG109" s="19">
        <f t="shared" si="23"/>
        <v>124.5</v>
      </c>
      <c r="AH109" t="e">
        <f t="shared" si="24"/>
        <v>#DIV/0!</v>
      </c>
      <c r="AI109" s="19">
        <f t="shared" si="25"/>
        <v>0</v>
      </c>
      <c r="AJ109" s="78" t="e">
        <f t="shared" si="26"/>
        <v>#DIV/0!</v>
      </c>
      <c r="AK109" s="19">
        <f t="shared" si="27"/>
        <v>0</v>
      </c>
      <c r="AL109" s="78" t="e">
        <f t="shared" si="28"/>
        <v>#DIV/0!</v>
      </c>
    </row>
    <row r="110" spans="1:38">
      <c r="A110" t="s">
        <v>156</v>
      </c>
      <c r="B110" s="79" t="s">
        <v>40</v>
      </c>
      <c r="C110" s="80" t="s">
        <v>49</v>
      </c>
      <c r="D110" s="81" t="s">
        <v>44</v>
      </c>
      <c r="E110" s="19"/>
      <c r="F110" s="74"/>
      <c r="G110" s="19"/>
      <c r="H110" s="74"/>
      <c r="I110" s="19"/>
      <c r="J110" s="74"/>
      <c r="K110" s="19">
        <v>34.5</v>
      </c>
      <c r="L110" s="74">
        <v>914092.20000000019</v>
      </c>
      <c r="M110" s="19"/>
      <c r="N110" s="74"/>
      <c r="O110" s="19"/>
      <c r="P110" s="74"/>
      <c r="Q110" s="19"/>
      <c r="R110" s="74"/>
      <c r="S110" s="19"/>
      <c r="T110" s="74"/>
      <c r="U110" s="19"/>
      <c r="V110" s="74"/>
      <c r="W110" s="19"/>
      <c r="X110" s="74"/>
      <c r="Y110" s="19"/>
      <c r="Z110" s="74"/>
      <c r="AA110" s="19"/>
      <c r="AB110" s="74"/>
      <c r="AC110" s="49">
        <f t="shared" si="19"/>
        <v>34.5</v>
      </c>
      <c r="AD110" s="73">
        <f t="shared" si="20"/>
        <v>914092.20000000019</v>
      </c>
      <c r="AE110" s="19">
        <f t="shared" si="21"/>
        <v>0</v>
      </c>
      <c r="AF110" s="78">
        <f t="shared" si="22"/>
        <v>0</v>
      </c>
      <c r="AG110" s="19">
        <f t="shared" si="23"/>
        <v>34.5</v>
      </c>
      <c r="AH110" t="e">
        <f t="shared" si="24"/>
        <v>#DIV/0!</v>
      </c>
      <c r="AI110" s="19">
        <f t="shared" si="25"/>
        <v>0</v>
      </c>
      <c r="AJ110" s="78" t="e">
        <f t="shared" si="26"/>
        <v>#DIV/0!</v>
      </c>
      <c r="AK110" s="19">
        <f t="shared" si="27"/>
        <v>0</v>
      </c>
      <c r="AL110" s="78" t="e">
        <f t="shared" si="28"/>
        <v>#DIV/0!</v>
      </c>
    </row>
    <row r="111" spans="1:38">
      <c r="A111" t="s">
        <v>127</v>
      </c>
      <c r="B111" s="79" t="s">
        <v>40</v>
      </c>
      <c r="C111" s="80" t="s">
        <v>49</v>
      </c>
      <c r="D111" s="81" t="s">
        <v>44</v>
      </c>
      <c r="E111" s="19"/>
      <c r="F111" s="74"/>
      <c r="G111" s="19">
        <v>80</v>
      </c>
      <c r="H111" s="74">
        <v>2400138.5999999987</v>
      </c>
      <c r="I111" s="19"/>
      <c r="J111" s="74"/>
      <c r="K111" s="19"/>
      <c r="L111" s="74"/>
      <c r="M111" s="19"/>
      <c r="N111" s="74"/>
      <c r="O111" s="19"/>
      <c r="P111" s="74"/>
      <c r="Q111" s="19"/>
      <c r="R111" s="74"/>
      <c r="S111" s="19"/>
      <c r="T111" s="74"/>
      <c r="U111" s="19"/>
      <c r="V111" s="74"/>
      <c r="W111" s="19"/>
      <c r="X111" s="74"/>
      <c r="Y111" s="19"/>
      <c r="Z111" s="74"/>
      <c r="AA111" s="19"/>
      <c r="AB111" s="74"/>
      <c r="AC111" s="49">
        <f t="shared" si="19"/>
        <v>80</v>
      </c>
      <c r="AD111" s="73">
        <f t="shared" si="20"/>
        <v>2400138.5999999987</v>
      </c>
      <c r="AE111" s="19">
        <f t="shared" si="21"/>
        <v>80</v>
      </c>
      <c r="AF111" s="78">
        <f t="shared" si="22"/>
        <v>1698.4557470618931</v>
      </c>
      <c r="AG111" s="19">
        <f t="shared" si="23"/>
        <v>0</v>
      </c>
      <c r="AH111" t="e">
        <f t="shared" si="24"/>
        <v>#DIV/0!</v>
      </c>
      <c r="AI111" s="19">
        <f t="shared" si="25"/>
        <v>0</v>
      </c>
      <c r="AJ111" s="78" t="e">
        <f t="shared" si="26"/>
        <v>#DIV/0!</v>
      </c>
      <c r="AK111" s="19">
        <f t="shared" si="27"/>
        <v>0</v>
      </c>
      <c r="AL111" s="78" t="e">
        <f t="shared" si="28"/>
        <v>#DIV/0!</v>
      </c>
    </row>
    <row r="112" spans="1:38">
      <c r="A112" t="s">
        <v>128</v>
      </c>
      <c r="B112" s="79" t="s">
        <v>40</v>
      </c>
      <c r="C112" s="80" t="s">
        <v>49</v>
      </c>
      <c r="D112" s="81" t="s">
        <v>44</v>
      </c>
      <c r="E112" s="19"/>
      <c r="F112" s="74"/>
      <c r="G112" s="19">
        <v>18</v>
      </c>
      <c r="H112" s="74">
        <v>440582.40000000002</v>
      </c>
      <c r="I112" s="19"/>
      <c r="J112" s="74"/>
      <c r="K112" s="19">
        <v>30</v>
      </c>
      <c r="L112" s="74">
        <v>786408</v>
      </c>
      <c r="M112" s="19"/>
      <c r="N112" s="74"/>
      <c r="O112" s="19"/>
      <c r="P112" s="74"/>
      <c r="Q112" s="19">
        <v>27</v>
      </c>
      <c r="R112" s="74">
        <v>830714.39999999991</v>
      </c>
      <c r="S112" s="19"/>
      <c r="T112" s="74"/>
      <c r="U112" s="19"/>
      <c r="V112" s="74"/>
      <c r="W112" s="19"/>
      <c r="X112" s="74"/>
      <c r="Y112" s="19"/>
      <c r="Z112" s="74"/>
      <c r="AA112" s="19"/>
      <c r="AB112" s="74"/>
      <c r="AC112" s="49">
        <f t="shared" ref="AC112:AC175" si="31">AA112+Y112+W112+U112+S112+Q112+O112+M112+K112+I112+G112+E112</f>
        <v>75</v>
      </c>
      <c r="AD112" s="73">
        <f t="shared" ref="AD112:AD175" si="32">AB112+Z112+X112+V112+T112+R112+P112+N112+L112+J112+H112+F112</f>
        <v>2057704.7999999998</v>
      </c>
      <c r="AE112" s="19">
        <f t="shared" si="21"/>
        <v>18</v>
      </c>
      <c r="AF112" s="78">
        <f t="shared" si="22"/>
        <v>311.77770706005157</v>
      </c>
      <c r="AG112" s="19">
        <f t="shared" si="23"/>
        <v>30</v>
      </c>
      <c r="AH112" t="e">
        <f t="shared" si="24"/>
        <v>#DIV/0!</v>
      </c>
      <c r="AI112" s="19">
        <f t="shared" si="25"/>
        <v>27</v>
      </c>
      <c r="AJ112" s="78" t="e">
        <f t="shared" si="26"/>
        <v>#DIV/0!</v>
      </c>
      <c r="AK112" s="19">
        <f t="shared" si="27"/>
        <v>0</v>
      </c>
      <c r="AL112" s="78" t="e">
        <f t="shared" si="28"/>
        <v>#DIV/0!</v>
      </c>
    </row>
    <row r="113" spans="1:38">
      <c r="A113" t="s">
        <v>66</v>
      </c>
      <c r="B113" s="79" t="s">
        <v>40</v>
      </c>
      <c r="C113" s="80" t="s">
        <v>49</v>
      </c>
      <c r="D113" s="81" t="s">
        <v>44</v>
      </c>
      <c r="E113" s="19">
        <v>-2.5</v>
      </c>
      <c r="F113" s="74">
        <v>-93843.6</v>
      </c>
      <c r="G113" s="19">
        <v>12</v>
      </c>
      <c r="H113" s="74">
        <v>406744.2</v>
      </c>
      <c r="I113" s="19"/>
      <c r="J113" s="74"/>
      <c r="K113" s="19"/>
      <c r="L113" s="74"/>
      <c r="M113" s="19"/>
      <c r="N113" s="74"/>
      <c r="O113" s="19">
        <v>10.5</v>
      </c>
      <c r="P113" s="74">
        <v>383055</v>
      </c>
      <c r="Q113" s="19"/>
      <c r="R113" s="74"/>
      <c r="S113" s="19"/>
      <c r="T113" s="74"/>
      <c r="U113" s="19"/>
      <c r="V113" s="74"/>
      <c r="W113" s="19"/>
      <c r="X113" s="74"/>
      <c r="Y113" s="19"/>
      <c r="Z113" s="74"/>
      <c r="AA113" s="19"/>
      <c r="AB113" s="74"/>
      <c r="AC113" s="49">
        <f t="shared" si="31"/>
        <v>20</v>
      </c>
      <c r="AD113" s="73">
        <f t="shared" si="32"/>
        <v>695955.6</v>
      </c>
      <c r="AE113" s="19">
        <f t="shared" si="21"/>
        <v>9.5</v>
      </c>
      <c r="AF113" s="78">
        <f t="shared" si="22"/>
        <v>221.42380541236864</v>
      </c>
      <c r="AG113" s="19">
        <f t="shared" si="23"/>
        <v>10.5</v>
      </c>
      <c r="AH113" t="e">
        <f t="shared" si="24"/>
        <v>#DIV/0!</v>
      </c>
      <c r="AI113" s="19">
        <f t="shared" si="25"/>
        <v>0</v>
      </c>
      <c r="AJ113" s="78" t="e">
        <f t="shared" si="26"/>
        <v>#DIV/0!</v>
      </c>
      <c r="AK113" s="19">
        <f t="shared" si="27"/>
        <v>0</v>
      </c>
      <c r="AL113" s="78" t="e">
        <f t="shared" si="28"/>
        <v>#DIV/0!</v>
      </c>
    </row>
    <row r="114" spans="1:38">
      <c r="A114" t="s">
        <v>96</v>
      </c>
      <c r="B114" s="79" t="s">
        <v>40</v>
      </c>
      <c r="C114" s="80" t="s">
        <v>49</v>
      </c>
      <c r="D114" s="81" t="s">
        <v>44</v>
      </c>
      <c r="E114" s="19">
        <v>37</v>
      </c>
      <c r="F114" s="74">
        <v>776551.20000000007</v>
      </c>
      <c r="G114" s="19"/>
      <c r="H114" s="74"/>
      <c r="I114" s="19"/>
      <c r="J114" s="74"/>
      <c r="K114" s="19"/>
      <c r="L114" s="74"/>
      <c r="M114" s="19"/>
      <c r="N114" s="74"/>
      <c r="O114" s="19"/>
      <c r="P114" s="74"/>
      <c r="Q114" s="19">
        <v>9</v>
      </c>
      <c r="R114" s="74">
        <v>338439.6</v>
      </c>
      <c r="S114" s="19"/>
      <c r="T114" s="74"/>
      <c r="U114" s="19"/>
      <c r="V114" s="74"/>
      <c r="W114" s="19"/>
      <c r="X114" s="74"/>
      <c r="Y114" s="19"/>
      <c r="Z114" s="74"/>
      <c r="AA114" s="19"/>
      <c r="AB114" s="74"/>
      <c r="AC114" s="49">
        <f t="shared" si="31"/>
        <v>46</v>
      </c>
      <c r="AD114" s="73">
        <f t="shared" si="32"/>
        <v>1114990.8</v>
      </c>
      <c r="AE114" s="19">
        <f t="shared" si="21"/>
        <v>37</v>
      </c>
      <c r="AF114" s="78">
        <f t="shared" si="22"/>
        <v>549.52570177731002</v>
      </c>
      <c r="AG114" s="19">
        <f t="shared" si="23"/>
        <v>0</v>
      </c>
      <c r="AH114" t="e">
        <f t="shared" si="24"/>
        <v>#DIV/0!</v>
      </c>
      <c r="AI114" s="19">
        <f t="shared" si="25"/>
        <v>9</v>
      </c>
      <c r="AJ114" s="78" t="e">
        <f t="shared" si="26"/>
        <v>#DIV/0!</v>
      </c>
      <c r="AK114" s="19">
        <f t="shared" si="27"/>
        <v>0</v>
      </c>
      <c r="AL114" s="78" t="e">
        <f t="shared" si="28"/>
        <v>#DIV/0!</v>
      </c>
    </row>
    <row r="115" spans="1:38">
      <c r="A115" t="s">
        <v>129</v>
      </c>
      <c r="B115" s="79" t="s">
        <v>40</v>
      </c>
      <c r="C115" s="80" t="s">
        <v>49</v>
      </c>
      <c r="D115" s="81" t="s">
        <v>44</v>
      </c>
      <c r="E115" s="19"/>
      <c r="F115" s="74"/>
      <c r="G115" s="19">
        <v>67</v>
      </c>
      <c r="H115" s="74">
        <v>1977509.4000000001</v>
      </c>
      <c r="I115" s="19">
        <v>-1</v>
      </c>
      <c r="J115" s="74">
        <v>-98875.47</v>
      </c>
      <c r="K115" s="19"/>
      <c r="L115" s="74"/>
      <c r="M115" s="19"/>
      <c r="N115" s="74"/>
      <c r="O115" s="19">
        <v>59</v>
      </c>
      <c r="P115" s="74">
        <v>1724521.8900000001</v>
      </c>
      <c r="Q115" s="19"/>
      <c r="R115" s="74"/>
      <c r="S115" s="19"/>
      <c r="T115" s="74"/>
      <c r="U115" s="19"/>
      <c r="V115" s="74"/>
      <c r="W115" s="19"/>
      <c r="X115" s="74"/>
      <c r="Y115" s="19"/>
      <c r="Z115" s="74"/>
      <c r="AA115" s="19"/>
      <c r="AB115" s="74"/>
      <c r="AC115" s="49">
        <f t="shared" si="31"/>
        <v>125</v>
      </c>
      <c r="AD115" s="73">
        <f t="shared" si="32"/>
        <v>3603155.8200000003</v>
      </c>
      <c r="AE115" s="19">
        <f t="shared" si="21"/>
        <v>66</v>
      </c>
      <c r="AF115" s="78">
        <f t="shared" si="22"/>
        <v>1329.4134743026809</v>
      </c>
      <c r="AG115" s="19">
        <f t="shared" si="23"/>
        <v>59</v>
      </c>
      <c r="AH115" t="e">
        <f t="shared" si="24"/>
        <v>#DIV/0!</v>
      </c>
      <c r="AI115" s="19">
        <f t="shared" si="25"/>
        <v>0</v>
      </c>
      <c r="AJ115" s="78" t="e">
        <f t="shared" si="26"/>
        <v>#DIV/0!</v>
      </c>
      <c r="AK115" s="19">
        <f t="shared" si="27"/>
        <v>0</v>
      </c>
      <c r="AL115" s="78" t="e">
        <f t="shared" si="28"/>
        <v>#DIV/0!</v>
      </c>
    </row>
    <row r="116" spans="1:38">
      <c r="A116" t="s">
        <v>144</v>
      </c>
      <c r="B116" s="79" t="s">
        <v>40</v>
      </c>
      <c r="C116" s="80" t="s">
        <v>49</v>
      </c>
      <c r="D116" s="81" t="s">
        <v>44</v>
      </c>
      <c r="E116" s="19"/>
      <c r="F116" s="74"/>
      <c r="G116" s="19"/>
      <c r="H116" s="74"/>
      <c r="I116" s="19">
        <v>28</v>
      </c>
      <c r="J116" s="74">
        <v>916546.20000000007</v>
      </c>
      <c r="K116" s="19"/>
      <c r="L116" s="74"/>
      <c r="M116" s="19"/>
      <c r="N116" s="74"/>
      <c r="O116" s="19">
        <v>12.5</v>
      </c>
      <c r="P116" s="74">
        <v>498429</v>
      </c>
      <c r="Q116" s="19"/>
      <c r="R116" s="74"/>
      <c r="S116" s="19"/>
      <c r="T116" s="74"/>
      <c r="U116" s="19"/>
      <c r="V116" s="74"/>
      <c r="W116" s="19"/>
      <c r="X116" s="74"/>
      <c r="Y116" s="19"/>
      <c r="Z116" s="74"/>
      <c r="AA116" s="19"/>
      <c r="AB116" s="74"/>
      <c r="AC116" s="49">
        <f t="shared" si="31"/>
        <v>40.5</v>
      </c>
      <c r="AD116" s="73">
        <f t="shared" si="32"/>
        <v>1414975.2000000002</v>
      </c>
      <c r="AE116" s="19">
        <f t="shared" si="21"/>
        <v>28</v>
      </c>
      <c r="AF116" s="78">
        <f t="shared" si="22"/>
        <v>648.59302743505748</v>
      </c>
      <c r="AG116" s="19">
        <f t="shared" si="23"/>
        <v>12.5</v>
      </c>
      <c r="AH116" t="e">
        <f t="shared" si="24"/>
        <v>#DIV/0!</v>
      </c>
      <c r="AI116" s="19">
        <f t="shared" si="25"/>
        <v>0</v>
      </c>
      <c r="AJ116" s="78" t="e">
        <f t="shared" si="26"/>
        <v>#DIV/0!</v>
      </c>
      <c r="AK116" s="19">
        <f t="shared" si="27"/>
        <v>0</v>
      </c>
      <c r="AL116" s="78" t="e">
        <f t="shared" si="28"/>
        <v>#DIV/0!</v>
      </c>
    </row>
    <row r="117" spans="1:38">
      <c r="B117" s="79"/>
      <c r="C117" s="80"/>
      <c r="D117" s="81"/>
      <c r="E117" s="19"/>
      <c r="F117" s="74"/>
      <c r="G117" s="19"/>
      <c r="H117" s="74"/>
      <c r="I117" s="19"/>
      <c r="J117" s="74"/>
      <c r="K117" s="19"/>
      <c r="L117" s="74"/>
      <c r="M117" s="19"/>
      <c r="N117" s="74"/>
      <c r="O117" s="19"/>
      <c r="P117" s="74"/>
      <c r="Q117" s="19"/>
      <c r="R117" s="74"/>
      <c r="S117" s="19"/>
      <c r="T117" s="74"/>
      <c r="U117" s="19"/>
      <c r="V117" s="74"/>
      <c r="W117" s="19"/>
      <c r="X117" s="74"/>
      <c r="Y117" s="19"/>
      <c r="Z117" s="74"/>
      <c r="AA117" s="19"/>
      <c r="AB117" s="74"/>
      <c r="AC117" s="49">
        <f t="shared" si="31"/>
        <v>0</v>
      </c>
      <c r="AD117" s="73">
        <f t="shared" si="32"/>
        <v>0</v>
      </c>
      <c r="AE117" s="19">
        <f t="shared" si="21"/>
        <v>0</v>
      </c>
      <c r="AF117" s="78">
        <f t="shared" si="22"/>
        <v>0</v>
      </c>
      <c r="AG117" s="19">
        <f t="shared" si="23"/>
        <v>0</v>
      </c>
      <c r="AH117" t="e">
        <f t="shared" si="24"/>
        <v>#DIV/0!</v>
      </c>
      <c r="AI117" s="19">
        <f t="shared" si="25"/>
        <v>0</v>
      </c>
      <c r="AJ117" s="78" t="e">
        <f t="shared" si="26"/>
        <v>#DIV/0!</v>
      </c>
      <c r="AK117" s="19">
        <f t="shared" si="27"/>
        <v>0</v>
      </c>
      <c r="AL117" s="78" t="e">
        <f t="shared" si="28"/>
        <v>#DIV/0!</v>
      </c>
    </row>
    <row r="118" spans="1:38">
      <c r="B118" s="79"/>
      <c r="C118" s="80"/>
      <c r="D118" s="81"/>
      <c r="E118" s="19"/>
      <c r="F118" s="74"/>
      <c r="G118" s="19"/>
      <c r="H118" s="74"/>
      <c r="I118" s="19"/>
      <c r="J118" s="74"/>
      <c r="K118" s="19"/>
      <c r="L118" s="74"/>
      <c r="M118" s="19"/>
      <c r="N118" s="74"/>
      <c r="O118" s="19"/>
      <c r="P118" s="74"/>
      <c r="Q118" s="19"/>
      <c r="R118" s="74"/>
      <c r="S118" s="19"/>
      <c r="T118" s="74"/>
      <c r="U118" s="19"/>
      <c r="V118" s="74"/>
      <c r="W118" s="19"/>
      <c r="X118" s="74"/>
      <c r="Y118" s="19"/>
      <c r="Z118" s="74"/>
      <c r="AA118" s="19"/>
      <c r="AB118" s="74"/>
      <c r="AC118" s="49">
        <f t="shared" si="31"/>
        <v>0</v>
      </c>
      <c r="AD118" s="73">
        <f t="shared" si="32"/>
        <v>0</v>
      </c>
      <c r="AE118" s="19">
        <f t="shared" si="21"/>
        <v>0</v>
      </c>
      <c r="AF118" s="78">
        <f t="shared" si="22"/>
        <v>0</v>
      </c>
      <c r="AG118" s="19">
        <f t="shared" si="23"/>
        <v>0</v>
      </c>
      <c r="AH118" t="e">
        <f t="shared" si="24"/>
        <v>#DIV/0!</v>
      </c>
      <c r="AI118" s="19">
        <f t="shared" si="25"/>
        <v>0</v>
      </c>
      <c r="AJ118" s="78" t="e">
        <f t="shared" si="26"/>
        <v>#DIV/0!</v>
      </c>
      <c r="AK118" s="19">
        <f t="shared" si="27"/>
        <v>0</v>
      </c>
      <c r="AL118" s="78" t="e">
        <f t="shared" si="28"/>
        <v>#DIV/0!</v>
      </c>
    </row>
    <row r="119" spans="1:38">
      <c r="B119" s="79"/>
      <c r="C119" s="80"/>
      <c r="D119" s="81"/>
      <c r="E119" s="19"/>
      <c r="F119" s="74"/>
      <c r="G119" s="19"/>
      <c r="H119" s="74"/>
      <c r="I119" s="19"/>
      <c r="J119" s="74"/>
      <c r="K119" s="19"/>
      <c r="L119" s="74"/>
      <c r="M119" s="19"/>
      <c r="N119" s="74"/>
      <c r="O119" s="19"/>
      <c r="P119" s="74"/>
      <c r="Q119" s="19"/>
      <c r="R119" s="74"/>
      <c r="S119" s="19"/>
      <c r="T119" s="74"/>
      <c r="U119" s="19"/>
      <c r="V119" s="74"/>
      <c r="W119" s="19"/>
      <c r="X119" s="74"/>
      <c r="Y119" s="19"/>
      <c r="Z119" s="74"/>
      <c r="AA119" s="19"/>
      <c r="AB119" s="74"/>
      <c r="AC119" s="49">
        <f t="shared" si="31"/>
        <v>0</v>
      </c>
      <c r="AD119" s="73">
        <f t="shared" si="32"/>
        <v>0</v>
      </c>
      <c r="AE119" s="19">
        <f t="shared" si="21"/>
        <v>0</v>
      </c>
      <c r="AF119" s="78">
        <f t="shared" si="22"/>
        <v>0</v>
      </c>
      <c r="AG119" s="19">
        <f t="shared" si="23"/>
        <v>0</v>
      </c>
      <c r="AH119" t="e">
        <f t="shared" si="24"/>
        <v>#DIV/0!</v>
      </c>
      <c r="AI119" s="19">
        <f t="shared" si="25"/>
        <v>0</v>
      </c>
      <c r="AJ119" s="78" t="e">
        <f t="shared" si="26"/>
        <v>#DIV/0!</v>
      </c>
      <c r="AK119" s="19">
        <f t="shared" si="27"/>
        <v>0</v>
      </c>
      <c r="AL119" s="78" t="e">
        <f t="shared" si="28"/>
        <v>#DIV/0!</v>
      </c>
    </row>
    <row r="120" spans="1:38">
      <c r="B120" s="79"/>
      <c r="C120" s="80"/>
      <c r="D120" s="81"/>
      <c r="E120" s="19"/>
      <c r="F120" s="74"/>
      <c r="G120" s="19"/>
      <c r="H120" s="74"/>
      <c r="I120" s="19"/>
      <c r="J120" s="74"/>
      <c r="K120" s="19"/>
      <c r="L120" s="74"/>
      <c r="M120" s="19"/>
      <c r="N120" s="74"/>
      <c r="O120" s="19"/>
      <c r="P120" s="74"/>
      <c r="Q120" s="19"/>
      <c r="R120" s="74"/>
      <c r="S120" s="19"/>
      <c r="T120" s="74"/>
      <c r="U120" s="19"/>
      <c r="V120" s="74"/>
      <c r="W120" s="19"/>
      <c r="X120" s="74"/>
      <c r="Y120" s="19"/>
      <c r="Z120" s="74"/>
      <c r="AA120" s="19"/>
      <c r="AB120" s="74"/>
      <c r="AC120" s="49">
        <f t="shared" si="31"/>
        <v>0</v>
      </c>
      <c r="AD120" s="73">
        <f t="shared" si="32"/>
        <v>0</v>
      </c>
      <c r="AE120" s="19">
        <f t="shared" si="21"/>
        <v>0</v>
      </c>
      <c r="AF120" s="78">
        <f t="shared" si="22"/>
        <v>0</v>
      </c>
      <c r="AG120" s="19">
        <f t="shared" si="23"/>
        <v>0</v>
      </c>
      <c r="AH120" t="e">
        <f t="shared" si="24"/>
        <v>#DIV/0!</v>
      </c>
      <c r="AI120" s="19">
        <f t="shared" si="25"/>
        <v>0</v>
      </c>
      <c r="AJ120" s="78" t="e">
        <f t="shared" si="26"/>
        <v>#DIV/0!</v>
      </c>
      <c r="AK120" s="19">
        <f t="shared" si="27"/>
        <v>0</v>
      </c>
      <c r="AL120" s="78" t="e">
        <f t="shared" si="28"/>
        <v>#DIV/0!</v>
      </c>
    </row>
    <row r="121" spans="1:38">
      <c r="B121" s="79"/>
      <c r="C121" s="80"/>
      <c r="D121" s="81"/>
      <c r="E121" s="19"/>
      <c r="F121" s="74"/>
      <c r="G121" s="19"/>
      <c r="H121" s="74"/>
      <c r="I121" s="19"/>
      <c r="J121" s="74"/>
      <c r="K121" s="19"/>
      <c r="L121" s="74"/>
      <c r="M121" s="19"/>
      <c r="N121" s="74"/>
      <c r="O121" s="19"/>
      <c r="P121" s="74"/>
      <c r="Q121" s="19"/>
      <c r="R121" s="74"/>
      <c r="S121" s="19"/>
      <c r="T121" s="74"/>
      <c r="U121" s="19"/>
      <c r="V121" s="74"/>
      <c r="W121" s="19"/>
      <c r="X121" s="74"/>
      <c r="Y121" s="19"/>
      <c r="Z121" s="74"/>
      <c r="AA121" s="19"/>
      <c r="AB121" s="74"/>
      <c r="AC121" s="49">
        <f t="shared" si="31"/>
        <v>0</v>
      </c>
      <c r="AD121" s="73">
        <f t="shared" si="32"/>
        <v>0</v>
      </c>
      <c r="AE121" s="19">
        <f t="shared" si="21"/>
        <v>0</v>
      </c>
      <c r="AF121" s="78">
        <f t="shared" si="22"/>
        <v>0</v>
      </c>
      <c r="AG121" s="19">
        <f t="shared" si="23"/>
        <v>0</v>
      </c>
      <c r="AH121" t="e">
        <f t="shared" si="24"/>
        <v>#DIV/0!</v>
      </c>
      <c r="AI121" s="19">
        <f t="shared" si="25"/>
        <v>0</v>
      </c>
      <c r="AJ121" s="78" t="e">
        <f t="shared" si="26"/>
        <v>#DIV/0!</v>
      </c>
      <c r="AK121" s="19">
        <f t="shared" si="27"/>
        <v>0</v>
      </c>
      <c r="AL121" s="78" t="e">
        <f t="shared" si="28"/>
        <v>#DIV/0!</v>
      </c>
    </row>
    <row r="122" spans="1:38">
      <c r="B122" s="79"/>
      <c r="C122" s="80"/>
      <c r="D122" s="81"/>
      <c r="E122" s="19"/>
      <c r="F122" s="74"/>
      <c r="G122" s="19"/>
      <c r="H122" s="74"/>
      <c r="I122" s="19"/>
      <c r="J122" s="74"/>
      <c r="K122" s="19"/>
      <c r="L122" s="74"/>
      <c r="M122" s="19"/>
      <c r="N122" s="74"/>
      <c r="O122" s="19"/>
      <c r="P122" s="74"/>
      <c r="Q122" s="19"/>
      <c r="R122" s="74"/>
      <c r="S122" s="19"/>
      <c r="T122" s="74"/>
      <c r="U122" s="19"/>
      <c r="V122" s="74"/>
      <c r="W122" s="19"/>
      <c r="X122" s="74"/>
      <c r="Y122" s="19"/>
      <c r="Z122" s="74"/>
      <c r="AA122" s="19"/>
      <c r="AB122" s="74"/>
      <c r="AC122" s="49">
        <f t="shared" si="31"/>
        <v>0</v>
      </c>
      <c r="AD122" s="73">
        <f t="shared" si="32"/>
        <v>0</v>
      </c>
      <c r="AE122" s="19">
        <f t="shared" si="21"/>
        <v>0</v>
      </c>
      <c r="AF122" s="78">
        <f t="shared" si="22"/>
        <v>0</v>
      </c>
      <c r="AG122" s="19">
        <f t="shared" si="23"/>
        <v>0</v>
      </c>
      <c r="AH122" t="e">
        <f t="shared" si="24"/>
        <v>#DIV/0!</v>
      </c>
      <c r="AI122" s="19">
        <f t="shared" si="25"/>
        <v>0</v>
      </c>
      <c r="AJ122" s="78" t="e">
        <f t="shared" si="26"/>
        <v>#DIV/0!</v>
      </c>
      <c r="AK122" s="19">
        <f t="shared" si="27"/>
        <v>0</v>
      </c>
      <c r="AL122" s="78" t="e">
        <f t="shared" si="28"/>
        <v>#DIV/0!</v>
      </c>
    </row>
    <row r="123" spans="1:38">
      <c r="B123" s="79"/>
      <c r="C123" s="80"/>
      <c r="D123" s="81"/>
      <c r="E123" s="19"/>
      <c r="F123" s="74"/>
      <c r="G123" s="19"/>
      <c r="H123" s="74"/>
      <c r="I123" s="19"/>
      <c r="J123" s="74"/>
      <c r="K123" s="19"/>
      <c r="L123" s="74"/>
      <c r="M123" s="19"/>
      <c r="N123" s="74"/>
      <c r="O123" s="19"/>
      <c r="P123" s="74"/>
      <c r="Q123" s="19"/>
      <c r="R123" s="74"/>
      <c r="S123" s="19"/>
      <c r="T123" s="74"/>
      <c r="U123" s="19"/>
      <c r="V123" s="74"/>
      <c r="W123" s="19"/>
      <c r="X123" s="74"/>
      <c r="Y123" s="19"/>
      <c r="Z123" s="74"/>
      <c r="AA123" s="19"/>
      <c r="AB123" s="74"/>
      <c r="AC123" s="49">
        <f t="shared" si="31"/>
        <v>0</v>
      </c>
      <c r="AD123" s="73">
        <f t="shared" si="32"/>
        <v>0</v>
      </c>
      <c r="AE123" s="19">
        <f t="shared" si="21"/>
        <v>0</v>
      </c>
      <c r="AF123" s="78">
        <f t="shared" si="22"/>
        <v>0</v>
      </c>
      <c r="AG123" s="19">
        <f t="shared" si="23"/>
        <v>0</v>
      </c>
      <c r="AH123" t="e">
        <f t="shared" si="24"/>
        <v>#DIV/0!</v>
      </c>
      <c r="AI123" s="19">
        <f t="shared" si="25"/>
        <v>0</v>
      </c>
      <c r="AJ123" s="78" t="e">
        <f t="shared" si="26"/>
        <v>#DIV/0!</v>
      </c>
      <c r="AK123" s="19">
        <f t="shared" si="27"/>
        <v>0</v>
      </c>
      <c r="AL123" s="78" t="e">
        <f t="shared" si="28"/>
        <v>#DIV/0!</v>
      </c>
    </row>
    <row r="124" spans="1:38">
      <c r="B124" s="79"/>
      <c r="C124" s="80"/>
      <c r="D124" s="81"/>
      <c r="E124" s="19"/>
      <c r="F124" s="74"/>
      <c r="G124" s="19"/>
      <c r="H124" s="74"/>
      <c r="I124" s="19"/>
      <c r="J124" s="74"/>
      <c r="K124" s="19"/>
      <c r="L124" s="74"/>
      <c r="M124" s="19"/>
      <c r="N124" s="74"/>
      <c r="O124" s="19"/>
      <c r="P124" s="74"/>
      <c r="Q124" s="19"/>
      <c r="R124" s="74"/>
      <c r="S124" s="19"/>
      <c r="T124" s="74"/>
      <c r="U124" s="19"/>
      <c r="V124" s="74"/>
      <c r="W124" s="19"/>
      <c r="X124" s="74"/>
      <c r="Y124" s="19"/>
      <c r="Z124" s="74"/>
      <c r="AA124" s="19"/>
      <c r="AB124" s="74"/>
      <c r="AC124" s="49">
        <f t="shared" si="31"/>
        <v>0</v>
      </c>
      <c r="AD124" s="73">
        <f t="shared" si="32"/>
        <v>0</v>
      </c>
      <c r="AE124" s="19">
        <f t="shared" si="21"/>
        <v>0</v>
      </c>
      <c r="AF124" s="78">
        <f t="shared" si="22"/>
        <v>0</v>
      </c>
      <c r="AG124" s="19">
        <f t="shared" si="23"/>
        <v>0</v>
      </c>
      <c r="AH124" t="e">
        <f t="shared" si="24"/>
        <v>#DIV/0!</v>
      </c>
      <c r="AI124" s="19">
        <f t="shared" si="25"/>
        <v>0</v>
      </c>
      <c r="AJ124" s="78" t="e">
        <f t="shared" si="26"/>
        <v>#DIV/0!</v>
      </c>
      <c r="AK124" s="19">
        <f t="shared" si="27"/>
        <v>0</v>
      </c>
      <c r="AL124" s="78" t="e">
        <f t="shared" si="28"/>
        <v>#DIV/0!</v>
      </c>
    </row>
    <row r="125" spans="1:38">
      <c r="B125" s="79"/>
      <c r="C125" s="80"/>
      <c r="D125" s="81"/>
      <c r="E125" s="19"/>
      <c r="F125" s="74"/>
      <c r="G125" s="19"/>
      <c r="H125" s="74"/>
      <c r="I125" s="19"/>
      <c r="J125" s="74"/>
      <c r="K125" s="19"/>
      <c r="L125" s="74"/>
      <c r="M125" s="19"/>
      <c r="N125" s="74"/>
      <c r="O125" s="19"/>
      <c r="P125" s="74"/>
      <c r="Q125" s="19"/>
      <c r="R125" s="74"/>
      <c r="S125" s="19"/>
      <c r="T125" s="74"/>
      <c r="U125" s="19"/>
      <c r="V125" s="74"/>
      <c r="W125" s="19"/>
      <c r="X125" s="74"/>
      <c r="Y125" s="19"/>
      <c r="Z125" s="74"/>
      <c r="AA125" s="19"/>
      <c r="AB125" s="74"/>
      <c r="AC125" s="49">
        <f t="shared" si="31"/>
        <v>0</v>
      </c>
      <c r="AD125" s="73">
        <f t="shared" si="32"/>
        <v>0</v>
      </c>
      <c r="AE125" s="19">
        <f t="shared" si="21"/>
        <v>0</v>
      </c>
      <c r="AF125" s="78">
        <f t="shared" si="22"/>
        <v>0</v>
      </c>
      <c r="AG125" s="19">
        <f t="shared" si="23"/>
        <v>0</v>
      </c>
      <c r="AH125" t="e">
        <f t="shared" si="24"/>
        <v>#DIV/0!</v>
      </c>
      <c r="AI125" s="19">
        <f t="shared" si="25"/>
        <v>0</v>
      </c>
      <c r="AJ125" s="78" t="e">
        <f t="shared" si="26"/>
        <v>#DIV/0!</v>
      </c>
      <c r="AK125" s="19">
        <f t="shared" si="27"/>
        <v>0</v>
      </c>
      <c r="AL125" s="78" t="e">
        <f t="shared" si="28"/>
        <v>#DIV/0!</v>
      </c>
    </row>
    <row r="126" spans="1:38">
      <c r="B126" s="79"/>
      <c r="C126" s="80"/>
      <c r="D126" s="81"/>
      <c r="E126" s="19"/>
      <c r="F126" s="74"/>
      <c r="G126" s="19"/>
      <c r="H126" s="74"/>
      <c r="I126" s="19"/>
      <c r="J126" s="74"/>
      <c r="K126" s="19"/>
      <c r="L126" s="74"/>
      <c r="M126" s="19"/>
      <c r="N126" s="74"/>
      <c r="O126" s="19"/>
      <c r="P126" s="74"/>
      <c r="Q126" s="19"/>
      <c r="R126" s="74"/>
      <c r="S126" s="19"/>
      <c r="T126" s="74"/>
      <c r="U126" s="19"/>
      <c r="V126" s="74"/>
      <c r="W126" s="19"/>
      <c r="X126" s="74"/>
      <c r="Y126" s="19"/>
      <c r="Z126" s="74"/>
      <c r="AA126" s="19"/>
      <c r="AB126" s="74"/>
      <c r="AC126" s="49">
        <f t="shared" si="31"/>
        <v>0</v>
      </c>
      <c r="AD126" s="73">
        <f t="shared" si="32"/>
        <v>0</v>
      </c>
      <c r="AE126" s="19">
        <f t="shared" si="21"/>
        <v>0</v>
      </c>
      <c r="AF126" s="78">
        <f t="shared" si="22"/>
        <v>0</v>
      </c>
      <c r="AG126" s="19">
        <f t="shared" si="23"/>
        <v>0</v>
      </c>
      <c r="AH126" t="e">
        <f t="shared" si="24"/>
        <v>#DIV/0!</v>
      </c>
      <c r="AI126" s="19">
        <f t="shared" si="25"/>
        <v>0</v>
      </c>
      <c r="AJ126" s="78" t="e">
        <f t="shared" si="26"/>
        <v>#DIV/0!</v>
      </c>
      <c r="AK126" s="19">
        <f t="shared" si="27"/>
        <v>0</v>
      </c>
      <c r="AL126" s="78" t="e">
        <f t="shared" si="28"/>
        <v>#DIV/0!</v>
      </c>
    </row>
    <row r="127" spans="1:38">
      <c r="B127" s="79"/>
      <c r="C127" s="80"/>
      <c r="D127" s="81"/>
      <c r="E127" s="19"/>
      <c r="F127" s="74"/>
      <c r="G127" s="19"/>
      <c r="H127" s="74"/>
      <c r="I127" s="19"/>
      <c r="J127" s="74"/>
      <c r="K127" s="19"/>
      <c r="L127" s="74"/>
      <c r="M127" s="19"/>
      <c r="N127" s="74"/>
      <c r="O127" s="19"/>
      <c r="P127" s="74"/>
      <c r="Q127" s="19"/>
      <c r="R127" s="74"/>
      <c r="S127" s="19"/>
      <c r="T127" s="74"/>
      <c r="U127" s="19"/>
      <c r="V127" s="74"/>
      <c r="W127" s="19"/>
      <c r="X127" s="74"/>
      <c r="Y127" s="19"/>
      <c r="Z127" s="74"/>
      <c r="AA127" s="19"/>
      <c r="AB127" s="74"/>
      <c r="AC127" s="49">
        <f t="shared" si="31"/>
        <v>0</v>
      </c>
      <c r="AD127" s="73">
        <f t="shared" si="32"/>
        <v>0</v>
      </c>
      <c r="AE127" s="19">
        <f t="shared" si="21"/>
        <v>0</v>
      </c>
      <c r="AF127" s="78">
        <f t="shared" si="22"/>
        <v>0</v>
      </c>
      <c r="AG127" s="19">
        <f t="shared" si="23"/>
        <v>0</v>
      </c>
      <c r="AH127" t="e">
        <f t="shared" si="24"/>
        <v>#DIV/0!</v>
      </c>
      <c r="AI127" s="19">
        <f t="shared" si="25"/>
        <v>0</v>
      </c>
      <c r="AJ127" s="78" t="e">
        <f t="shared" si="26"/>
        <v>#DIV/0!</v>
      </c>
      <c r="AK127" s="19">
        <f t="shared" si="27"/>
        <v>0</v>
      </c>
      <c r="AL127" s="78" t="e">
        <f t="shared" si="28"/>
        <v>#DIV/0!</v>
      </c>
    </row>
    <row r="128" spans="1:38">
      <c r="B128" s="79"/>
      <c r="C128" s="80"/>
      <c r="D128" s="81"/>
      <c r="E128" s="19"/>
      <c r="F128" s="74"/>
      <c r="G128" s="19"/>
      <c r="H128" s="74"/>
      <c r="I128" s="19"/>
      <c r="J128" s="74"/>
      <c r="K128" s="19"/>
      <c r="L128" s="74"/>
      <c r="M128" s="19"/>
      <c r="N128" s="74"/>
      <c r="O128" s="19"/>
      <c r="P128" s="74"/>
      <c r="Q128" s="19"/>
      <c r="R128" s="74"/>
      <c r="S128" s="19"/>
      <c r="T128" s="74"/>
      <c r="U128" s="19"/>
      <c r="V128" s="74"/>
      <c r="W128" s="19"/>
      <c r="X128" s="74"/>
      <c r="Y128" s="19"/>
      <c r="Z128" s="74"/>
      <c r="AA128" s="19"/>
      <c r="AB128" s="74"/>
      <c r="AC128" s="49">
        <f t="shared" si="31"/>
        <v>0</v>
      </c>
      <c r="AD128" s="73">
        <f t="shared" si="32"/>
        <v>0</v>
      </c>
      <c r="AE128" s="19">
        <f t="shared" si="21"/>
        <v>0</v>
      </c>
      <c r="AF128" s="78">
        <f t="shared" si="22"/>
        <v>0</v>
      </c>
      <c r="AG128" s="19">
        <f t="shared" si="23"/>
        <v>0</v>
      </c>
      <c r="AH128" t="e">
        <f t="shared" si="24"/>
        <v>#DIV/0!</v>
      </c>
      <c r="AI128" s="19">
        <f t="shared" si="25"/>
        <v>0</v>
      </c>
      <c r="AJ128" s="78" t="e">
        <f t="shared" si="26"/>
        <v>#DIV/0!</v>
      </c>
      <c r="AK128" s="19">
        <f t="shared" si="27"/>
        <v>0</v>
      </c>
      <c r="AL128" s="78" t="e">
        <f t="shared" si="28"/>
        <v>#DIV/0!</v>
      </c>
    </row>
    <row r="129" spans="2:38">
      <c r="B129" s="79"/>
      <c r="C129" s="80"/>
      <c r="D129" s="81"/>
      <c r="E129" s="19"/>
      <c r="F129" s="74"/>
      <c r="G129" s="19"/>
      <c r="H129" s="74"/>
      <c r="I129" s="19"/>
      <c r="J129" s="74"/>
      <c r="K129" s="19"/>
      <c r="L129" s="74"/>
      <c r="M129" s="19"/>
      <c r="N129" s="74"/>
      <c r="O129" s="19"/>
      <c r="P129" s="74"/>
      <c r="Q129" s="19"/>
      <c r="R129" s="74"/>
      <c r="S129" s="19"/>
      <c r="T129" s="74"/>
      <c r="U129" s="19"/>
      <c r="V129" s="74"/>
      <c r="W129" s="19"/>
      <c r="X129" s="74"/>
      <c r="Y129" s="19"/>
      <c r="Z129" s="74"/>
      <c r="AA129" s="19"/>
      <c r="AB129" s="74"/>
      <c r="AC129" s="49">
        <f t="shared" si="31"/>
        <v>0</v>
      </c>
      <c r="AD129" s="73">
        <f t="shared" si="32"/>
        <v>0</v>
      </c>
      <c r="AE129" s="19">
        <f t="shared" si="21"/>
        <v>0</v>
      </c>
      <c r="AF129" s="78">
        <f t="shared" si="22"/>
        <v>0</v>
      </c>
      <c r="AG129" s="19">
        <f t="shared" si="23"/>
        <v>0</v>
      </c>
      <c r="AH129" t="e">
        <f t="shared" si="24"/>
        <v>#DIV/0!</v>
      </c>
      <c r="AI129" s="19">
        <f t="shared" si="25"/>
        <v>0</v>
      </c>
      <c r="AJ129" s="78" t="e">
        <f t="shared" si="26"/>
        <v>#DIV/0!</v>
      </c>
      <c r="AK129" s="19">
        <f t="shared" si="27"/>
        <v>0</v>
      </c>
      <c r="AL129" s="78" t="e">
        <f t="shared" si="28"/>
        <v>#DIV/0!</v>
      </c>
    </row>
    <row r="130" spans="2:38">
      <c r="B130" s="79"/>
      <c r="C130" s="80"/>
      <c r="D130" s="81"/>
      <c r="E130" s="19"/>
      <c r="F130" s="74"/>
      <c r="G130" s="19"/>
      <c r="H130" s="74"/>
      <c r="I130" s="19"/>
      <c r="J130" s="74"/>
      <c r="K130" s="19"/>
      <c r="L130" s="74"/>
      <c r="M130" s="19"/>
      <c r="N130" s="74"/>
      <c r="O130" s="19"/>
      <c r="P130" s="74"/>
      <c r="Q130" s="19"/>
      <c r="R130" s="74"/>
      <c r="S130" s="19"/>
      <c r="T130" s="74"/>
      <c r="U130" s="19"/>
      <c r="V130" s="74"/>
      <c r="W130" s="19"/>
      <c r="X130" s="74"/>
      <c r="Y130" s="19"/>
      <c r="Z130" s="74"/>
      <c r="AA130" s="19"/>
      <c r="AB130" s="74"/>
      <c r="AC130" s="49">
        <f t="shared" si="31"/>
        <v>0</v>
      </c>
      <c r="AD130" s="73">
        <f t="shared" si="32"/>
        <v>0</v>
      </c>
      <c r="AE130" s="19">
        <f t="shared" si="21"/>
        <v>0</v>
      </c>
      <c r="AF130" s="78">
        <f t="shared" si="22"/>
        <v>0</v>
      </c>
      <c r="AG130" s="19">
        <f t="shared" si="23"/>
        <v>0</v>
      </c>
      <c r="AH130" t="e">
        <f t="shared" si="24"/>
        <v>#DIV/0!</v>
      </c>
      <c r="AI130" s="19">
        <f t="shared" si="25"/>
        <v>0</v>
      </c>
      <c r="AJ130" s="78" t="e">
        <f t="shared" si="26"/>
        <v>#DIV/0!</v>
      </c>
      <c r="AK130" s="19">
        <f t="shared" si="27"/>
        <v>0</v>
      </c>
      <c r="AL130" s="78" t="e">
        <f t="shared" si="28"/>
        <v>#DIV/0!</v>
      </c>
    </row>
    <row r="131" spans="2:38">
      <c r="B131" s="79"/>
      <c r="C131" s="80"/>
      <c r="D131" s="81"/>
      <c r="E131" s="19"/>
      <c r="F131" s="74"/>
      <c r="G131" s="19"/>
      <c r="H131" s="74"/>
      <c r="I131" s="19"/>
      <c r="J131" s="74"/>
      <c r="K131" s="19"/>
      <c r="L131" s="74"/>
      <c r="M131" s="19"/>
      <c r="N131" s="74"/>
      <c r="O131" s="19"/>
      <c r="P131" s="74"/>
      <c r="Q131" s="19"/>
      <c r="R131" s="74"/>
      <c r="S131" s="19"/>
      <c r="T131" s="74"/>
      <c r="U131" s="19"/>
      <c r="V131" s="74"/>
      <c r="W131" s="19"/>
      <c r="X131" s="74"/>
      <c r="Y131" s="19"/>
      <c r="Z131" s="74"/>
      <c r="AA131" s="19"/>
      <c r="AB131" s="74"/>
      <c r="AC131" s="49">
        <f t="shared" si="31"/>
        <v>0</v>
      </c>
      <c r="AD131" s="73">
        <f t="shared" si="32"/>
        <v>0</v>
      </c>
      <c r="AE131" s="19">
        <f t="shared" ref="AE131:AE133" si="33">E131+G131+I131</f>
        <v>0</v>
      </c>
      <c r="AF131" s="78">
        <f t="shared" ref="AF131:AF133" si="34">(F131+H131+J131)/$AF$4</f>
        <v>0</v>
      </c>
      <c r="AG131" s="19">
        <f t="shared" ref="AG131:AG133" si="35">K131+M131+O131</f>
        <v>0</v>
      </c>
      <c r="AH131" t="e">
        <f t="shared" ref="AH131:AH133" si="36">(L131+N131+P131)/$AH$4</f>
        <v>#DIV/0!</v>
      </c>
      <c r="AI131" s="19">
        <f t="shared" ref="AI131:AI133" si="37">U131+S131+Q131</f>
        <v>0</v>
      </c>
      <c r="AJ131" s="78" t="e">
        <f t="shared" ref="AJ131:AJ133" si="38">(V131+T131+R131)/$AJ$4</f>
        <v>#DIV/0!</v>
      </c>
      <c r="AK131" s="19">
        <f t="shared" ref="AK131:AK133" si="39">W131+Y131+AA131</f>
        <v>0</v>
      </c>
      <c r="AL131" s="78" t="e">
        <f t="shared" ref="AL131:AL133" si="40">(X131+Z131+AB131)/$AL$4</f>
        <v>#DIV/0!</v>
      </c>
    </row>
    <row r="132" spans="2:38">
      <c r="B132" s="79"/>
      <c r="C132" s="80"/>
      <c r="D132" s="81"/>
      <c r="E132" s="19"/>
      <c r="F132" s="74"/>
      <c r="G132" s="19"/>
      <c r="H132" s="74"/>
      <c r="I132" s="19"/>
      <c r="J132" s="74"/>
      <c r="K132" s="19"/>
      <c r="L132" s="74"/>
      <c r="M132" s="19"/>
      <c r="N132" s="74"/>
      <c r="O132" s="19"/>
      <c r="P132" s="74"/>
      <c r="Q132" s="19"/>
      <c r="R132" s="74"/>
      <c r="S132" s="19"/>
      <c r="T132" s="74"/>
      <c r="U132" s="19"/>
      <c r="V132" s="74"/>
      <c r="W132" s="19"/>
      <c r="X132" s="74"/>
      <c r="Y132" s="19"/>
      <c r="Z132" s="74"/>
      <c r="AA132" s="19"/>
      <c r="AB132" s="74"/>
      <c r="AC132" s="49">
        <f t="shared" si="31"/>
        <v>0</v>
      </c>
      <c r="AD132" s="73">
        <f t="shared" si="32"/>
        <v>0</v>
      </c>
      <c r="AE132" s="19">
        <f t="shared" si="33"/>
        <v>0</v>
      </c>
      <c r="AF132" s="78">
        <f t="shared" si="34"/>
        <v>0</v>
      </c>
      <c r="AG132" s="19">
        <f t="shared" si="35"/>
        <v>0</v>
      </c>
      <c r="AH132" t="e">
        <f t="shared" si="36"/>
        <v>#DIV/0!</v>
      </c>
      <c r="AI132" s="19">
        <f t="shared" si="37"/>
        <v>0</v>
      </c>
      <c r="AJ132" s="78" t="e">
        <f t="shared" si="38"/>
        <v>#DIV/0!</v>
      </c>
      <c r="AK132" s="19">
        <f t="shared" si="39"/>
        <v>0</v>
      </c>
      <c r="AL132" s="78" t="e">
        <f t="shared" si="40"/>
        <v>#DIV/0!</v>
      </c>
    </row>
    <row r="133" spans="2:38">
      <c r="B133" s="79"/>
      <c r="C133" s="80"/>
      <c r="D133" s="81"/>
      <c r="E133" s="19"/>
      <c r="F133" s="74"/>
      <c r="G133" s="19"/>
      <c r="H133" s="74"/>
      <c r="I133" s="19"/>
      <c r="J133" s="74"/>
      <c r="K133" s="19"/>
      <c r="L133" s="74"/>
      <c r="M133" s="19"/>
      <c r="N133" s="74"/>
      <c r="O133" s="19"/>
      <c r="P133" s="74"/>
      <c r="Q133" s="19"/>
      <c r="R133" s="74"/>
      <c r="S133" s="19"/>
      <c r="T133" s="74"/>
      <c r="U133" s="19"/>
      <c r="V133" s="74"/>
      <c r="W133" s="19"/>
      <c r="X133" s="74"/>
      <c r="Y133" s="19"/>
      <c r="Z133" s="74"/>
      <c r="AA133" s="19"/>
      <c r="AB133" s="74"/>
      <c r="AC133" s="49">
        <f t="shared" si="31"/>
        <v>0</v>
      </c>
      <c r="AD133" s="73">
        <f t="shared" si="32"/>
        <v>0</v>
      </c>
      <c r="AE133" s="19">
        <f t="shared" si="33"/>
        <v>0</v>
      </c>
      <c r="AF133" s="78">
        <f t="shared" si="34"/>
        <v>0</v>
      </c>
      <c r="AG133" s="19">
        <f t="shared" si="35"/>
        <v>0</v>
      </c>
      <c r="AH133" t="e">
        <f t="shared" si="36"/>
        <v>#DIV/0!</v>
      </c>
      <c r="AI133" s="19">
        <f t="shared" si="37"/>
        <v>0</v>
      </c>
      <c r="AJ133" s="78" t="e">
        <f t="shared" si="38"/>
        <v>#DIV/0!</v>
      </c>
      <c r="AK133" s="19">
        <f t="shared" si="39"/>
        <v>0</v>
      </c>
      <c r="AL133" s="78" t="e">
        <f t="shared" si="40"/>
        <v>#DIV/0!</v>
      </c>
    </row>
    <row r="134" spans="2:38">
      <c r="B134" s="79"/>
      <c r="C134" s="80"/>
      <c r="D134" s="81"/>
      <c r="E134" s="19"/>
      <c r="F134" s="74"/>
      <c r="G134" s="19"/>
      <c r="H134" s="74"/>
      <c r="I134" s="19"/>
      <c r="J134" s="74"/>
      <c r="K134" s="19"/>
      <c r="L134" s="74"/>
      <c r="M134" s="19"/>
      <c r="N134" s="74"/>
      <c r="O134" s="19"/>
      <c r="P134" s="74"/>
      <c r="Q134" s="19"/>
      <c r="R134" s="74"/>
      <c r="S134" s="19"/>
      <c r="T134" s="74"/>
      <c r="U134" s="19"/>
      <c r="V134" s="74"/>
      <c r="W134" s="19"/>
      <c r="X134" s="74"/>
      <c r="Y134" s="19"/>
      <c r="Z134" s="74"/>
      <c r="AA134" s="19"/>
      <c r="AB134" s="74"/>
      <c r="AC134" s="49">
        <f t="shared" si="31"/>
        <v>0</v>
      </c>
      <c r="AD134" s="73">
        <f t="shared" si="32"/>
        <v>0</v>
      </c>
      <c r="AE134" s="19">
        <f t="shared" ref="AE134:AE135" si="41">E134+G134+I134</f>
        <v>0</v>
      </c>
      <c r="AF134" s="78">
        <f t="shared" ref="AF134:AF135" si="42">(F134+H134+J134)/$AF$4</f>
        <v>0</v>
      </c>
      <c r="AG134" s="19">
        <f t="shared" ref="AG134:AG135" si="43">K134+M134+O134</f>
        <v>0</v>
      </c>
      <c r="AH134" t="e">
        <f t="shared" ref="AH134:AH135" si="44">(L134+N134+P134)/$AH$4</f>
        <v>#DIV/0!</v>
      </c>
      <c r="AI134" s="19">
        <f t="shared" ref="AI134:AI135" si="45">U134+S134+Q134</f>
        <v>0</v>
      </c>
      <c r="AJ134" s="78" t="e">
        <f t="shared" ref="AJ134:AJ135" si="46">(V134+T134+R134)/$AJ$4</f>
        <v>#DIV/0!</v>
      </c>
      <c r="AK134" s="19">
        <f t="shared" ref="AK134:AK135" si="47">W134+Y134+AA134</f>
        <v>0</v>
      </c>
      <c r="AL134" s="78" t="e">
        <f t="shared" ref="AL134:AL135" si="48">(X134+Z134+AB134)/$AL$4</f>
        <v>#DIV/0!</v>
      </c>
    </row>
    <row r="135" spans="2:38">
      <c r="B135" s="79"/>
      <c r="C135" s="80"/>
      <c r="D135" s="81"/>
      <c r="E135" s="19"/>
      <c r="F135" s="74"/>
      <c r="G135" s="19"/>
      <c r="H135" s="74"/>
      <c r="I135" s="19"/>
      <c r="J135" s="74"/>
      <c r="K135" s="19"/>
      <c r="L135" s="74"/>
      <c r="M135" s="19"/>
      <c r="N135" s="74"/>
      <c r="O135" s="19"/>
      <c r="P135" s="74"/>
      <c r="Q135" s="19"/>
      <c r="R135" s="74"/>
      <c r="S135" s="19"/>
      <c r="T135" s="74"/>
      <c r="U135" s="19"/>
      <c r="V135" s="74"/>
      <c r="W135" s="19"/>
      <c r="X135" s="74"/>
      <c r="Y135" s="19"/>
      <c r="Z135" s="74"/>
      <c r="AA135" s="19"/>
      <c r="AB135" s="74"/>
      <c r="AC135" s="49">
        <f t="shared" si="31"/>
        <v>0</v>
      </c>
      <c r="AD135" s="73">
        <f t="shared" si="32"/>
        <v>0</v>
      </c>
      <c r="AE135" s="19">
        <f t="shared" si="41"/>
        <v>0</v>
      </c>
      <c r="AF135" s="78">
        <f t="shared" si="42"/>
        <v>0</v>
      </c>
      <c r="AG135" s="19">
        <f t="shared" si="43"/>
        <v>0</v>
      </c>
      <c r="AH135" t="e">
        <f t="shared" si="44"/>
        <v>#DIV/0!</v>
      </c>
      <c r="AI135" s="19">
        <f t="shared" si="45"/>
        <v>0</v>
      </c>
      <c r="AJ135" s="78" t="e">
        <f t="shared" si="46"/>
        <v>#DIV/0!</v>
      </c>
      <c r="AK135" s="19">
        <f t="shared" si="47"/>
        <v>0</v>
      </c>
      <c r="AL135" s="78" t="e">
        <f t="shared" si="48"/>
        <v>#DIV/0!</v>
      </c>
    </row>
    <row r="136" spans="2:38">
      <c r="B136" s="79"/>
      <c r="C136" s="80"/>
      <c r="D136" s="81"/>
      <c r="E136" s="19"/>
      <c r="F136" s="74"/>
      <c r="G136" s="19"/>
      <c r="H136" s="74"/>
      <c r="I136" s="19"/>
      <c r="J136" s="74"/>
      <c r="K136" s="19"/>
      <c r="L136" s="74"/>
      <c r="M136" s="19"/>
      <c r="N136" s="74"/>
      <c r="O136" s="19"/>
      <c r="P136" s="74"/>
      <c r="Q136" s="19"/>
      <c r="R136" s="74"/>
      <c r="S136" s="19"/>
      <c r="T136" s="74"/>
      <c r="U136" s="19"/>
      <c r="V136" s="74"/>
      <c r="W136" s="19"/>
      <c r="X136" s="74"/>
      <c r="Y136" s="19"/>
      <c r="Z136" s="74"/>
      <c r="AA136" s="19"/>
      <c r="AB136" s="74"/>
      <c r="AC136" s="49">
        <f t="shared" si="31"/>
        <v>0</v>
      </c>
      <c r="AD136" s="73">
        <f t="shared" si="32"/>
        <v>0</v>
      </c>
      <c r="AE136" s="19">
        <f t="shared" ref="AE136:AE144" si="49">E136+G136+I136</f>
        <v>0</v>
      </c>
      <c r="AF136" s="78">
        <f t="shared" ref="AF136:AF144" si="50">(F136+H136+J136)/$AF$4</f>
        <v>0</v>
      </c>
      <c r="AG136" s="19">
        <f t="shared" ref="AG136:AG144" si="51">K136+M136+O136</f>
        <v>0</v>
      </c>
      <c r="AH136" t="e">
        <f t="shared" ref="AH136:AH144" si="52">(L136+N136+P136)/$AH$4</f>
        <v>#DIV/0!</v>
      </c>
      <c r="AI136" s="19">
        <f t="shared" ref="AI136:AI144" si="53">U136+S136+Q136</f>
        <v>0</v>
      </c>
      <c r="AJ136" s="78" t="e">
        <f t="shared" ref="AJ136:AJ144" si="54">(V136+T136+R136)/$AJ$4</f>
        <v>#DIV/0!</v>
      </c>
      <c r="AK136" s="19">
        <f t="shared" ref="AK136:AK144" si="55">W136+Y136+AA136</f>
        <v>0</v>
      </c>
      <c r="AL136" s="78" t="e">
        <f t="shared" ref="AL136:AL144" si="56">(X136+Z136+AB136)/$AL$4</f>
        <v>#DIV/0!</v>
      </c>
    </row>
    <row r="137" spans="2:38">
      <c r="B137" s="79"/>
      <c r="C137" s="80"/>
      <c r="D137" s="81"/>
      <c r="E137" s="19"/>
      <c r="F137" s="74"/>
      <c r="G137" s="19"/>
      <c r="H137" s="74"/>
      <c r="I137" s="19"/>
      <c r="J137" s="74"/>
      <c r="K137" s="19"/>
      <c r="L137" s="74"/>
      <c r="M137" s="19"/>
      <c r="N137" s="74"/>
      <c r="O137" s="19"/>
      <c r="P137" s="74"/>
      <c r="Q137" s="19"/>
      <c r="R137" s="74"/>
      <c r="S137" s="19"/>
      <c r="T137" s="74"/>
      <c r="U137" s="19"/>
      <c r="V137" s="74"/>
      <c r="W137" s="19"/>
      <c r="X137" s="74"/>
      <c r="Y137" s="19"/>
      <c r="Z137" s="74"/>
      <c r="AA137" s="19"/>
      <c r="AB137" s="74"/>
      <c r="AC137" s="49">
        <f t="shared" si="31"/>
        <v>0</v>
      </c>
      <c r="AD137" s="73">
        <f t="shared" si="32"/>
        <v>0</v>
      </c>
      <c r="AE137" s="19">
        <f t="shared" si="49"/>
        <v>0</v>
      </c>
      <c r="AF137" s="78">
        <f t="shared" si="50"/>
        <v>0</v>
      </c>
      <c r="AG137" s="19">
        <f t="shared" si="51"/>
        <v>0</v>
      </c>
      <c r="AH137" t="e">
        <f t="shared" si="52"/>
        <v>#DIV/0!</v>
      </c>
      <c r="AI137" s="19">
        <f t="shared" si="53"/>
        <v>0</v>
      </c>
      <c r="AJ137" s="78" t="e">
        <f t="shared" si="54"/>
        <v>#DIV/0!</v>
      </c>
      <c r="AK137" s="19">
        <f t="shared" si="55"/>
        <v>0</v>
      </c>
      <c r="AL137" s="78" t="e">
        <f t="shared" si="56"/>
        <v>#DIV/0!</v>
      </c>
    </row>
    <row r="138" spans="2:38">
      <c r="B138" s="79"/>
      <c r="C138" s="80"/>
      <c r="D138" s="81"/>
      <c r="E138" s="19"/>
      <c r="F138" s="74"/>
      <c r="G138" s="19"/>
      <c r="H138" s="74"/>
      <c r="I138" s="19"/>
      <c r="J138" s="74"/>
      <c r="K138" s="19"/>
      <c r="L138" s="74"/>
      <c r="M138" s="19"/>
      <c r="N138" s="74"/>
      <c r="O138" s="19"/>
      <c r="P138" s="74"/>
      <c r="Q138" s="19"/>
      <c r="R138" s="74"/>
      <c r="S138" s="19"/>
      <c r="T138" s="74"/>
      <c r="U138" s="19"/>
      <c r="V138" s="74"/>
      <c r="W138" s="19"/>
      <c r="X138" s="74"/>
      <c r="Y138" s="19"/>
      <c r="Z138" s="74"/>
      <c r="AA138" s="19"/>
      <c r="AB138" s="74"/>
      <c r="AC138" s="49">
        <f t="shared" si="31"/>
        <v>0</v>
      </c>
      <c r="AD138" s="73">
        <f t="shared" si="32"/>
        <v>0</v>
      </c>
      <c r="AE138" s="19">
        <f t="shared" si="49"/>
        <v>0</v>
      </c>
      <c r="AF138" s="78">
        <f t="shared" si="50"/>
        <v>0</v>
      </c>
      <c r="AG138" s="19">
        <f t="shared" si="51"/>
        <v>0</v>
      </c>
      <c r="AH138" t="e">
        <f t="shared" si="52"/>
        <v>#DIV/0!</v>
      </c>
      <c r="AI138" s="19">
        <f t="shared" si="53"/>
        <v>0</v>
      </c>
      <c r="AJ138" s="78" t="e">
        <f t="shared" si="54"/>
        <v>#DIV/0!</v>
      </c>
      <c r="AK138" s="19">
        <f t="shared" si="55"/>
        <v>0</v>
      </c>
      <c r="AL138" s="78" t="e">
        <f t="shared" si="56"/>
        <v>#DIV/0!</v>
      </c>
    </row>
    <row r="139" spans="2:38">
      <c r="B139" s="79"/>
      <c r="C139" s="80"/>
      <c r="D139" s="81"/>
      <c r="E139" s="19"/>
      <c r="F139" s="74"/>
      <c r="G139" s="19"/>
      <c r="H139" s="74"/>
      <c r="I139" s="19"/>
      <c r="J139" s="74"/>
      <c r="K139" s="19"/>
      <c r="L139" s="74"/>
      <c r="M139" s="19"/>
      <c r="N139" s="74"/>
      <c r="O139" s="19"/>
      <c r="P139" s="74"/>
      <c r="Q139" s="19"/>
      <c r="R139" s="74"/>
      <c r="S139" s="19"/>
      <c r="T139" s="74"/>
      <c r="U139" s="19"/>
      <c r="V139" s="74"/>
      <c r="W139" s="19"/>
      <c r="X139" s="74"/>
      <c r="Y139" s="19"/>
      <c r="Z139" s="74"/>
      <c r="AA139" s="19"/>
      <c r="AB139" s="74"/>
      <c r="AC139" s="49">
        <f t="shared" si="31"/>
        <v>0</v>
      </c>
      <c r="AD139" s="73">
        <f t="shared" si="32"/>
        <v>0</v>
      </c>
      <c r="AE139" s="19">
        <f t="shared" si="49"/>
        <v>0</v>
      </c>
      <c r="AF139" s="78">
        <f t="shared" si="50"/>
        <v>0</v>
      </c>
      <c r="AG139" s="19">
        <f t="shared" si="51"/>
        <v>0</v>
      </c>
      <c r="AH139" t="e">
        <f t="shared" si="52"/>
        <v>#DIV/0!</v>
      </c>
      <c r="AI139" s="19">
        <f t="shared" si="53"/>
        <v>0</v>
      </c>
      <c r="AJ139" s="78" t="e">
        <f t="shared" si="54"/>
        <v>#DIV/0!</v>
      </c>
      <c r="AK139" s="19">
        <f t="shared" si="55"/>
        <v>0</v>
      </c>
      <c r="AL139" s="78" t="e">
        <f t="shared" si="56"/>
        <v>#DIV/0!</v>
      </c>
    </row>
    <row r="140" spans="2:38">
      <c r="B140" s="79"/>
      <c r="C140" s="80"/>
      <c r="D140" s="81"/>
      <c r="E140" s="19"/>
      <c r="F140" s="74"/>
      <c r="G140" s="19"/>
      <c r="H140" s="74"/>
      <c r="I140" s="19"/>
      <c r="J140" s="74"/>
      <c r="K140" s="19"/>
      <c r="L140" s="74"/>
      <c r="M140" s="19"/>
      <c r="N140" s="74"/>
      <c r="O140" s="19"/>
      <c r="P140" s="74"/>
      <c r="Q140" s="19"/>
      <c r="R140" s="74"/>
      <c r="S140" s="19"/>
      <c r="T140" s="74"/>
      <c r="U140" s="19"/>
      <c r="V140" s="74"/>
      <c r="W140" s="19"/>
      <c r="X140" s="74"/>
      <c r="Y140" s="19"/>
      <c r="Z140" s="74"/>
      <c r="AA140" s="19"/>
      <c r="AB140" s="74"/>
      <c r="AC140" s="49">
        <f t="shared" si="31"/>
        <v>0</v>
      </c>
      <c r="AD140" s="73">
        <f t="shared" si="32"/>
        <v>0</v>
      </c>
      <c r="AE140" s="19">
        <f t="shared" si="49"/>
        <v>0</v>
      </c>
      <c r="AF140" s="78">
        <f t="shared" si="50"/>
        <v>0</v>
      </c>
      <c r="AG140" s="19">
        <f t="shared" si="51"/>
        <v>0</v>
      </c>
      <c r="AH140" t="e">
        <f t="shared" si="52"/>
        <v>#DIV/0!</v>
      </c>
      <c r="AI140" s="19">
        <f t="shared" si="53"/>
        <v>0</v>
      </c>
      <c r="AJ140" s="78" t="e">
        <f t="shared" si="54"/>
        <v>#DIV/0!</v>
      </c>
      <c r="AK140" s="19">
        <f t="shared" si="55"/>
        <v>0</v>
      </c>
      <c r="AL140" s="78" t="e">
        <f t="shared" si="56"/>
        <v>#DIV/0!</v>
      </c>
    </row>
    <row r="141" spans="2:38">
      <c r="B141" s="79"/>
      <c r="C141" s="80"/>
      <c r="D141" s="81"/>
      <c r="E141" s="19"/>
      <c r="F141" s="74"/>
      <c r="G141" s="19"/>
      <c r="H141" s="74"/>
      <c r="I141" s="19"/>
      <c r="J141" s="74"/>
      <c r="K141" s="19"/>
      <c r="L141" s="74"/>
      <c r="M141" s="19"/>
      <c r="N141" s="74"/>
      <c r="O141" s="19"/>
      <c r="P141" s="74"/>
      <c r="Q141" s="19"/>
      <c r="R141" s="74"/>
      <c r="S141" s="19"/>
      <c r="T141" s="74"/>
      <c r="U141" s="19"/>
      <c r="V141" s="74"/>
      <c r="W141" s="19"/>
      <c r="X141" s="74"/>
      <c r="Y141" s="19"/>
      <c r="Z141" s="74"/>
      <c r="AA141" s="19"/>
      <c r="AB141" s="74"/>
      <c r="AC141" s="49">
        <f t="shared" si="31"/>
        <v>0</v>
      </c>
      <c r="AD141" s="73">
        <f t="shared" si="32"/>
        <v>0</v>
      </c>
      <c r="AE141" s="19">
        <f t="shared" si="49"/>
        <v>0</v>
      </c>
      <c r="AF141" s="78">
        <f t="shared" si="50"/>
        <v>0</v>
      </c>
      <c r="AG141" s="19">
        <f t="shared" si="51"/>
        <v>0</v>
      </c>
      <c r="AH141" t="e">
        <f t="shared" si="52"/>
        <v>#DIV/0!</v>
      </c>
      <c r="AI141" s="19">
        <f t="shared" si="53"/>
        <v>0</v>
      </c>
      <c r="AJ141" s="78" t="e">
        <f t="shared" si="54"/>
        <v>#DIV/0!</v>
      </c>
      <c r="AK141" s="19">
        <f t="shared" si="55"/>
        <v>0</v>
      </c>
      <c r="AL141" s="78" t="e">
        <f t="shared" si="56"/>
        <v>#DIV/0!</v>
      </c>
    </row>
    <row r="142" spans="2:38">
      <c r="B142" s="79"/>
      <c r="C142" s="80"/>
      <c r="D142" s="81"/>
      <c r="E142" s="19"/>
      <c r="F142" s="74"/>
      <c r="G142" s="19"/>
      <c r="H142" s="74"/>
      <c r="I142" s="19"/>
      <c r="J142" s="74"/>
      <c r="K142" s="19"/>
      <c r="L142" s="74"/>
      <c r="M142" s="19"/>
      <c r="N142" s="74"/>
      <c r="O142" s="19"/>
      <c r="P142" s="74"/>
      <c r="Q142" s="19"/>
      <c r="R142" s="74"/>
      <c r="S142" s="19"/>
      <c r="T142" s="74"/>
      <c r="U142" s="19"/>
      <c r="V142" s="74"/>
      <c r="W142" s="19"/>
      <c r="X142" s="74"/>
      <c r="Y142" s="19"/>
      <c r="Z142" s="74"/>
      <c r="AA142" s="19"/>
      <c r="AB142" s="74"/>
      <c r="AC142" s="49">
        <f t="shared" si="31"/>
        <v>0</v>
      </c>
      <c r="AD142" s="73">
        <f t="shared" si="32"/>
        <v>0</v>
      </c>
      <c r="AE142" s="19">
        <f t="shared" si="49"/>
        <v>0</v>
      </c>
      <c r="AF142" s="78">
        <f t="shared" si="50"/>
        <v>0</v>
      </c>
      <c r="AG142" s="19">
        <f t="shared" si="51"/>
        <v>0</v>
      </c>
      <c r="AH142" t="e">
        <f t="shared" si="52"/>
        <v>#DIV/0!</v>
      </c>
      <c r="AI142" s="19">
        <f t="shared" si="53"/>
        <v>0</v>
      </c>
      <c r="AJ142" s="78" t="e">
        <f t="shared" si="54"/>
        <v>#DIV/0!</v>
      </c>
      <c r="AK142" s="19">
        <f t="shared" si="55"/>
        <v>0</v>
      </c>
      <c r="AL142" s="78" t="e">
        <f t="shared" si="56"/>
        <v>#DIV/0!</v>
      </c>
    </row>
    <row r="143" spans="2:38">
      <c r="B143" s="79"/>
      <c r="C143" s="80"/>
      <c r="D143" s="81"/>
      <c r="E143" s="19"/>
      <c r="F143" s="74"/>
      <c r="G143" s="19"/>
      <c r="H143" s="74"/>
      <c r="I143" s="19"/>
      <c r="J143" s="74"/>
      <c r="K143" s="19"/>
      <c r="L143" s="74"/>
      <c r="M143" s="19"/>
      <c r="N143" s="74"/>
      <c r="O143" s="19"/>
      <c r="P143" s="74"/>
      <c r="Q143" s="19"/>
      <c r="R143" s="74"/>
      <c r="S143" s="19"/>
      <c r="T143" s="74"/>
      <c r="U143" s="19"/>
      <c r="V143" s="74"/>
      <c r="W143" s="19"/>
      <c r="X143" s="74"/>
      <c r="Y143" s="19"/>
      <c r="Z143" s="74"/>
      <c r="AA143" s="19"/>
      <c r="AB143" s="74"/>
      <c r="AC143" s="49">
        <f t="shared" si="31"/>
        <v>0</v>
      </c>
      <c r="AD143" s="73">
        <f t="shared" si="32"/>
        <v>0</v>
      </c>
      <c r="AE143" s="19">
        <f t="shared" si="49"/>
        <v>0</v>
      </c>
      <c r="AF143" s="78">
        <f t="shared" si="50"/>
        <v>0</v>
      </c>
      <c r="AG143" s="19">
        <f t="shared" si="51"/>
        <v>0</v>
      </c>
      <c r="AH143" t="e">
        <f t="shared" si="52"/>
        <v>#DIV/0!</v>
      </c>
      <c r="AI143" s="19">
        <f t="shared" si="53"/>
        <v>0</v>
      </c>
      <c r="AJ143" s="78" t="e">
        <f t="shared" si="54"/>
        <v>#DIV/0!</v>
      </c>
      <c r="AK143" s="19">
        <f t="shared" si="55"/>
        <v>0</v>
      </c>
      <c r="AL143" s="78" t="e">
        <f t="shared" si="56"/>
        <v>#DIV/0!</v>
      </c>
    </row>
    <row r="144" spans="2:38">
      <c r="B144" s="79"/>
      <c r="C144" s="80"/>
      <c r="D144" s="81"/>
      <c r="E144" s="19"/>
      <c r="F144" s="74"/>
      <c r="G144" s="19"/>
      <c r="H144" s="74"/>
      <c r="I144" s="19"/>
      <c r="J144" s="74"/>
      <c r="K144" s="19"/>
      <c r="L144" s="74"/>
      <c r="M144" s="19"/>
      <c r="N144" s="74"/>
      <c r="O144" s="19"/>
      <c r="P144" s="74"/>
      <c r="Q144" s="19"/>
      <c r="R144" s="74"/>
      <c r="S144" s="19"/>
      <c r="T144" s="74"/>
      <c r="U144" s="19"/>
      <c r="V144" s="74"/>
      <c r="W144" s="19"/>
      <c r="X144" s="74"/>
      <c r="Y144" s="19"/>
      <c r="Z144" s="74"/>
      <c r="AA144" s="19"/>
      <c r="AB144" s="74"/>
      <c r="AC144" s="49">
        <f t="shared" si="31"/>
        <v>0</v>
      </c>
      <c r="AD144" s="73">
        <f t="shared" si="32"/>
        <v>0</v>
      </c>
      <c r="AE144" s="19">
        <f t="shared" si="49"/>
        <v>0</v>
      </c>
      <c r="AF144" s="78">
        <f t="shared" si="50"/>
        <v>0</v>
      </c>
      <c r="AG144" s="19">
        <f t="shared" si="51"/>
        <v>0</v>
      </c>
      <c r="AH144" t="e">
        <f t="shared" si="52"/>
        <v>#DIV/0!</v>
      </c>
      <c r="AI144" s="19">
        <f t="shared" si="53"/>
        <v>0</v>
      </c>
      <c r="AJ144" s="78" t="e">
        <f t="shared" si="54"/>
        <v>#DIV/0!</v>
      </c>
      <c r="AK144" s="19">
        <f t="shared" si="55"/>
        <v>0</v>
      </c>
      <c r="AL144" s="78" t="e">
        <f t="shared" si="56"/>
        <v>#DIV/0!</v>
      </c>
    </row>
    <row r="145" spans="3:30">
      <c r="C145" s="75"/>
      <c r="D145" s="76"/>
      <c r="E145" s="19"/>
      <c r="F145" s="74"/>
      <c r="G145" s="19"/>
      <c r="H145" s="74"/>
      <c r="I145" s="19"/>
      <c r="J145" s="74"/>
      <c r="K145" s="19"/>
      <c r="L145" s="74"/>
      <c r="M145" s="19"/>
      <c r="N145" s="74"/>
      <c r="O145" s="19"/>
      <c r="P145" s="74"/>
      <c r="Q145" s="19"/>
      <c r="R145" s="74"/>
      <c r="S145" s="19"/>
      <c r="T145" s="74"/>
      <c r="U145" s="19"/>
      <c r="V145" s="74"/>
      <c r="W145" s="19"/>
      <c r="X145" s="74"/>
      <c r="Y145" s="19"/>
      <c r="Z145" s="74"/>
      <c r="AA145" s="19"/>
      <c r="AB145" s="74"/>
      <c r="AC145" s="49">
        <f t="shared" si="31"/>
        <v>0</v>
      </c>
      <c r="AD145" s="73">
        <f t="shared" si="32"/>
        <v>0</v>
      </c>
    </row>
    <row r="146" spans="3:30">
      <c r="C146" s="75"/>
      <c r="D146" s="76"/>
      <c r="E146" s="19"/>
      <c r="F146" s="74"/>
      <c r="G146" s="19"/>
      <c r="H146" s="74"/>
      <c r="I146" s="19"/>
      <c r="J146" s="74"/>
      <c r="K146" s="19"/>
      <c r="L146" s="74"/>
      <c r="M146" s="19"/>
      <c r="N146" s="74"/>
      <c r="O146" s="19"/>
      <c r="P146" s="74"/>
      <c r="Q146" s="19"/>
      <c r="R146" s="74"/>
      <c r="S146" s="19"/>
      <c r="T146" s="74"/>
      <c r="U146" s="19"/>
      <c r="V146" s="74"/>
      <c r="W146" s="19"/>
      <c r="X146" s="74"/>
      <c r="Y146" s="19"/>
      <c r="Z146" s="74"/>
      <c r="AA146" s="19"/>
      <c r="AB146" s="74"/>
      <c r="AC146" s="49">
        <f t="shared" si="31"/>
        <v>0</v>
      </c>
      <c r="AD146" s="73">
        <f t="shared" si="32"/>
        <v>0</v>
      </c>
    </row>
    <row r="147" spans="3:30">
      <c r="C147" s="75"/>
      <c r="D147" s="76"/>
      <c r="E147" s="19"/>
      <c r="F147" s="74"/>
      <c r="G147" s="19"/>
      <c r="H147" s="74"/>
      <c r="I147" s="19"/>
      <c r="J147" s="74"/>
      <c r="K147" s="19"/>
      <c r="L147" s="74"/>
      <c r="M147" s="19"/>
      <c r="N147" s="74"/>
      <c r="O147" s="19"/>
      <c r="P147" s="74"/>
      <c r="Q147" s="19"/>
      <c r="R147" s="74"/>
      <c r="S147" s="19"/>
      <c r="T147" s="74"/>
      <c r="U147" s="19"/>
      <c r="V147" s="74"/>
      <c r="W147" s="19"/>
      <c r="X147" s="74"/>
      <c r="Y147" s="19"/>
      <c r="Z147" s="74"/>
      <c r="AA147" s="19"/>
      <c r="AB147" s="74"/>
      <c r="AC147" s="49">
        <f t="shared" si="31"/>
        <v>0</v>
      </c>
      <c r="AD147" s="73">
        <f t="shared" si="32"/>
        <v>0</v>
      </c>
    </row>
    <row r="148" spans="3:30">
      <c r="C148" s="75"/>
      <c r="D148" s="76"/>
      <c r="E148" s="19"/>
      <c r="F148" s="74"/>
      <c r="G148" s="19"/>
      <c r="H148" s="74"/>
      <c r="I148" s="19"/>
      <c r="J148" s="74"/>
      <c r="K148" s="19"/>
      <c r="L148" s="74"/>
      <c r="M148" s="19"/>
      <c r="N148" s="74"/>
      <c r="O148" s="19"/>
      <c r="P148" s="74"/>
      <c r="Q148" s="19"/>
      <c r="R148" s="74"/>
      <c r="S148" s="19"/>
      <c r="T148" s="74"/>
      <c r="U148" s="19"/>
      <c r="V148" s="74"/>
      <c r="W148" s="19"/>
      <c r="X148" s="74"/>
      <c r="Y148" s="19"/>
      <c r="Z148" s="74"/>
      <c r="AA148" s="19"/>
      <c r="AB148" s="74"/>
      <c r="AC148" s="49">
        <f t="shared" si="31"/>
        <v>0</v>
      </c>
      <c r="AD148" s="73">
        <f t="shared" si="32"/>
        <v>0</v>
      </c>
    </row>
    <row r="149" spans="3:30">
      <c r="C149" s="75"/>
      <c r="D149" s="76"/>
      <c r="E149" s="19"/>
      <c r="F149" s="74"/>
      <c r="G149" s="19"/>
      <c r="H149" s="74"/>
      <c r="I149" s="19"/>
      <c r="J149" s="74"/>
      <c r="K149" s="19"/>
      <c r="L149" s="74"/>
      <c r="M149" s="19"/>
      <c r="N149" s="74"/>
      <c r="O149" s="19"/>
      <c r="P149" s="74"/>
      <c r="Q149" s="19"/>
      <c r="R149" s="74"/>
      <c r="S149" s="19"/>
      <c r="T149" s="74"/>
      <c r="U149" s="19"/>
      <c r="V149" s="74"/>
      <c r="W149" s="19"/>
      <c r="X149" s="74"/>
      <c r="Y149" s="19"/>
      <c r="Z149" s="74"/>
      <c r="AA149" s="19"/>
      <c r="AB149" s="74"/>
      <c r="AC149" s="49">
        <f t="shared" si="31"/>
        <v>0</v>
      </c>
      <c r="AD149" s="73">
        <f t="shared" si="32"/>
        <v>0</v>
      </c>
    </row>
    <row r="150" spans="3:30">
      <c r="C150" s="75"/>
      <c r="D150" s="76"/>
      <c r="E150" s="19"/>
      <c r="F150" s="74"/>
      <c r="G150" s="19"/>
      <c r="H150" s="74"/>
      <c r="I150" s="19"/>
      <c r="J150" s="74"/>
      <c r="K150" s="19"/>
      <c r="L150" s="74"/>
      <c r="M150" s="19"/>
      <c r="N150" s="74"/>
      <c r="O150" s="19"/>
      <c r="P150" s="74"/>
      <c r="Q150" s="19"/>
      <c r="R150" s="74"/>
      <c r="S150" s="19"/>
      <c r="T150" s="74"/>
      <c r="U150" s="19"/>
      <c r="V150" s="74"/>
      <c r="W150" s="19"/>
      <c r="X150" s="74"/>
      <c r="Y150" s="19"/>
      <c r="Z150" s="74"/>
      <c r="AA150" s="19"/>
      <c r="AB150" s="74"/>
      <c r="AC150" s="49">
        <f t="shared" si="31"/>
        <v>0</v>
      </c>
      <c r="AD150" s="73">
        <f t="shared" si="32"/>
        <v>0</v>
      </c>
    </row>
    <row r="151" spans="3:30">
      <c r="C151" s="75"/>
      <c r="D151" s="76"/>
      <c r="E151" s="19"/>
      <c r="F151" s="74"/>
      <c r="G151" s="19"/>
      <c r="H151" s="74"/>
      <c r="I151" s="19"/>
      <c r="J151" s="74"/>
      <c r="K151" s="19"/>
      <c r="L151" s="74"/>
      <c r="M151" s="19"/>
      <c r="N151" s="74"/>
      <c r="O151" s="19"/>
      <c r="P151" s="74"/>
      <c r="Q151" s="19"/>
      <c r="R151" s="74"/>
      <c r="S151" s="19"/>
      <c r="T151" s="74"/>
      <c r="U151" s="19"/>
      <c r="V151" s="74"/>
      <c r="W151" s="19"/>
      <c r="X151" s="74"/>
      <c r="Y151" s="19"/>
      <c r="Z151" s="74"/>
      <c r="AA151" s="19"/>
      <c r="AB151" s="74"/>
      <c r="AC151" s="49">
        <f t="shared" si="31"/>
        <v>0</v>
      </c>
      <c r="AD151" s="73">
        <f t="shared" si="32"/>
        <v>0</v>
      </c>
    </row>
    <row r="152" spans="3:30">
      <c r="C152" s="75"/>
      <c r="D152" s="76"/>
      <c r="E152" s="19"/>
      <c r="F152" s="74"/>
      <c r="G152" s="19"/>
      <c r="H152" s="74"/>
      <c r="I152" s="19"/>
      <c r="J152" s="74"/>
      <c r="K152" s="19"/>
      <c r="L152" s="74"/>
      <c r="M152" s="19"/>
      <c r="N152" s="74"/>
      <c r="O152" s="19"/>
      <c r="P152" s="74"/>
      <c r="Q152" s="19"/>
      <c r="R152" s="74"/>
      <c r="S152" s="19"/>
      <c r="T152" s="74"/>
      <c r="U152" s="19"/>
      <c r="V152" s="74"/>
      <c r="W152" s="19"/>
      <c r="X152" s="74"/>
      <c r="Y152" s="19"/>
      <c r="Z152" s="74"/>
      <c r="AA152" s="19"/>
      <c r="AB152" s="74"/>
      <c r="AC152" s="49">
        <f t="shared" si="31"/>
        <v>0</v>
      </c>
      <c r="AD152" s="73">
        <f t="shared" si="32"/>
        <v>0</v>
      </c>
    </row>
    <row r="153" spans="3:30">
      <c r="C153" s="75"/>
      <c r="D153" s="76"/>
      <c r="E153" s="19"/>
      <c r="F153" s="74"/>
      <c r="G153" s="19"/>
      <c r="H153" s="74"/>
      <c r="I153" s="19"/>
      <c r="J153" s="74"/>
      <c r="K153" s="19"/>
      <c r="L153" s="74"/>
      <c r="M153" s="19"/>
      <c r="N153" s="74"/>
      <c r="O153" s="19"/>
      <c r="P153" s="74"/>
      <c r="Q153" s="19"/>
      <c r="R153" s="74"/>
      <c r="S153" s="19"/>
      <c r="T153" s="74"/>
      <c r="U153" s="19"/>
      <c r="V153" s="74"/>
      <c r="W153" s="19"/>
      <c r="X153" s="74"/>
      <c r="Y153" s="19"/>
      <c r="Z153" s="74"/>
      <c r="AA153" s="19"/>
      <c r="AB153" s="74"/>
      <c r="AC153" s="49">
        <f t="shared" si="31"/>
        <v>0</v>
      </c>
      <c r="AD153" s="73">
        <f t="shared" si="32"/>
        <v>0</v>
      </c>
    </row>
    <row r="154" spans="3:30">
      <c r="C154" s="75"/>
      <c r="D154" s="76"/>
      <c r="E154" s="19"/>
      <c r="F154" s="74"/>
      <c r="G154" s="19"/>
      <c r="H154" s="74"/>
      <c r="I154" s="19"/>
      <c r="J154" s="74"/>
      <c r="K154" s="19"/>
      <c r="L154" s="74"/>
      <c r="M154" s="19"/>
      <c r="N154" s="74"/>
      <c r="O154" s="19"/>
      <c r="P154" s="74"/>
      <c r="Q154" s="19"/>
      <c r="R154" s="74"/>
      <c r="S154" s="19"/>
      <c r="T154" s="74"/>
      <c r="U154" s="19"/>
      <c r="V154" s="74"/>
      <c r="W154" s="19"/>
      <c r="X154" s="74"/>
      <c r="Y154" s="19"/>
      <c r="Z154" s="74"/>
      <c r="AA154" s="19"/>
      <c r="AB154" s="74"/>
      <c r="AC154" s="49">
        <f t="shared" si="31"/>
        <v>0</v>
      </c>
      <c r="AD154" s="73">
        <f t="shared" si="32"/>
        <v>0</v>
      </c>
    </row>
    <row r="155" spans="3:30">
      <c r="C155" s="75"/>
      <c r="D155" s="76"/>
      <c r="E155" s="19"/>
      <c r="F155" s="74"/>
      <c r="G155" s="19"/>
      <c r="H155" s="74"/>
      <c r="I155" s="19"/>
      <c r="J155" s="74"/>
      <c r="K155" s="19"/>
      <c r="L155" s="74"/>
      <c r="M155" s="19"/>
      <c r="N155" s="74"/>
      <c r="O155" s="19"/>
      <c r="P155" s="74"/>
      <c r="Q155" s="19"/>
      <c r="R155" s="74"/>
      <c r="S155" s="19"/>
      <c r="T155" s="74"/>
      <c r="U155" s="19"/>
      <c r="V155" s="74"/>
      <c r="W155" s="19"/>
      <c r="X155" s="74"/>
      <c r="Y155" s="19"/>
      <c r="Z155" s="74"/>
      <c r="AA155" s="19"/>
      <c r="AB155" s="74"/>
      <c r="AC155" s="49">
        <f t="shared" si="31"/>
        <v>0</v>
      </c>
      <c r="AD155" s="73">
        <f t="shared" si="32"/>
        <v>0</v>
      </c>
    </row>
    <row r="156" spans="3:30">
      <c r="C156" s="75"/>
      <c r="D156" s="76"/>
      <c r="E156" s="19"/>
      <c r="F156" s="74"/>
      <c r="G156" s="19"/>
      <c r="H156" s="74"/>
      <c r="I156" s="19"/>
      <c r="J156" s="74"/>
      <c r="K156" s="19"/>
      <c r="L156" s="74"/>
      <c r="M156" s="19"/>
      <c r="N156" s="74"/>
      <c r="O156" s="19"/>
      <c r="P156" s="74"/>
      <c r="Q156" s="19"/>
      <c r="R156" s="74"/>
      <c r="S156" s="19"/>
      <c r="T156" s="74"/>
      <c r="U156" s="19"/>
      <c r="V156" s="74"/>
      <c r="W156" s="19"/>
      <c r="X156" s="74"/>
      <c r="Y156" s="19"/>
      <c r="Z156" s="74"/>
      <c r="AA156" s="19"/>
      <c r="AB156" s="74"/>
      <c r="AC156" s="49">
        <f t="shared" si="31"/>
        <v>0</v>
      </c>
      <c r="AD156" s="73">
        <f t="shared" si="32"/>
        <v>0</v>
      </c>
    </row>
    <row r="157" spans="3:30">
      <c r="C157" s="75"/>
      <c r="D157" s="76"/>
      <c r="E157" s="19"/>
      <c r="F157" s="74"/>
      <c r="G157" s="19"/>
      <c r="H157" s="74"/>
      <c r="I157" s="19"/>
      <c r="J157" s="74"/>
      <c r="K157" s="19"/>
      <c r="L157" s="74"/>
      <c r="M157" s="19"/>
      <c r="N157" s="74"/>
      <c r="O157" s="19"/>
      <c r="P157" s="74"/>
      <c r="Q157" s="19"/>
      <c r="R157" s="74"/>
      <c r="S157" s="19"/>
      <c r="T157" s="74"/>
      <c r="U157" s="19"/>
      <c r="V157" s="74"/>
      <c r="W157" s="19"/>
      <c r="X157" s="74"/>
      <c r="Y157" s="19"/>
      <c r="Z157" s="74"/>
      <c r="AA157" s="19"/>
      <c r="AB157" s="74"/>
      <c r="AC157" s="49">
        <f t="shared" si="31"/>
        <v>0</v>
      </c>
      <c r="AD157" s="73">
        <f t="shared" si="32"/>
        <v>0</v>
      </c>
    </row>
    <row r="158" spans="3:30">
      <c r="C158" s="75"/>
      <c r="D158" s="76"/>
      <c r="E158" s="19"/>
      <c r="F158" s="74"/>
      <c r="G158" s="19"/>
      <c r="H158" s="74"/>
      <c r="I158" s="19"/>
      <c r="J158" s="74"/>
      <c r="K158" s="19"/>
      <c r="L158" s="74"/>
      <c r="M158" s="19"/>
      <c r="N158" s="74"/>
      <c r="O158" s="19"/>
      <c r="P158" s="74"/>
      <c r="Q158" s="19"/>
      <c r="R158" s="74"/>
      <c r="S158" s="19"/>
      <c r="T158" s="74"/>
      <c r="U158" s="19"/>
      <c r="V158" s="74"/>
      <c r="W158" s="19"/>
      <c r="X158" s="74"/>
      <c r="Y158" s="19"/>
      <c r="Z158" s="74"/>
      <c r="AA158" s="19"/>
      <c r="AB158" s="74"/>
      <c r="AC158" s="49">
        <f t="shared" si="31"/>
        <v>0</v>
      </c>
      <c r="AD158" s="73">
        <f t="shared" si="32"/>
        <v>0</v>
      </c>
    </row>
    <row r="159" spans="3:30">
      <c r="C159" s="75"/>
      <c r="D159" s="76"/>
      <c r="E159" s="19"/>
      <c r="F159" s="74"/>
      <c r="G159" s="19"/>
      <c r="H159" s="74"/>
      <c r="I159" s="19"/>
      <c r="J159" s="74"/>
      <c r="K159" s="19"/>
      <c r="L159" s="74"/>
      <c r="M159" s="19"/>
      <c r="N159" s="74"/>
      <c r="O159" s="19"/>
      <c r="P159" s="74"/>
      <c r="Q159" s="19"/>
      <c r="R159" s="74"/>
      <c r="S159" s="19"/>
      <c r="T159" s="74"/>
      <c r="U159" s="19"/>
      <c r="V159" s="74"/>
      <c r="W159" s="19"/>
      <c r="X159" s="74"/>
      <c r="Y159" s="19"/>
      <c r="Z159" s="74"/>
      <c r="AA159" s="19"/>
      <c r="AB159" s="74"/>
      <c r="AC159" s="49">
        <f t="shared" si="31"/>
        <v>0</v>
      </c>
      <c r="AD159" s="73">
        <f t="shared" si="32"/>
        <v>0</v>
      </c>
    </row>
    <row r="160" spans="3:30">
      <c r="C160" s="75"/>
      <c r="D160" s="76"/>
      <c r="E160" s="19"/>
      <c r="F160" s="74"/>
      <c r="G160" s="19"/>
      <c r="H160" s="74"/>
      <c r="I160" s="19"/>
      <c r="J160" s="74"/>
      <c r="K160" s="19"/>
      <c r="L160" s="74"/>
      <c r="M160" s="19"/>
      <c r="N160" s="74"/>
      <c r="O160" s="19"/>
      <c r="P160" s="74"/>
      <c r="Q160" s="19"/>
      <c r="R160" s="74"/>
      <c r="S160" s="19"/>
      <c r="T160" s="74"/>
      <c r="U160" s="19"/>
      <c r="V160" s="74"/>
      <c r="W160" s="19"/>
      <c r="X160" s="74"/>
      <c r="Y160" s="19"/>
      <c r="Z160" s="74"/>
      <c r="AA160" s="19"/>
      <c r="AB160" s="74"/>
      <c r="AC160" s="49">
        <f t="shared" si="31"/>
        <v>0</v>
      </c>
      <c r="AD160" s="73">
        <f t="shared" si="32"/>
        <v>0</v>
      </c>
    </row>
    <row r="161" spans="3:30">
      <c r="C161" s="75"/>
      <c r="D161" s="76"/>
      <c r="E161" s="19"/>
      <c r="F161" s="74"/>
      <c r="G161" s="19"/>
      <c r="H161" s="74"/>
      <c r="I161" s="19"/>
      <c r="J161" s="74"/>
      <c r="K161" s="19"/>
      <c r="L161" s="74"/>
      <c r="M161" s="19"/>
      <c r="N161" s="74"/>
      <c r="O161" s="19"/>
      <c r="P161" s="74"/>
      <c r="Q161" s="19"/>
      <c r="R161" s="74"/>
      <c r="S161" s="19"/>
      <c r="T161" s="74"/>
      <c r="U161" s="19"/>
      <c r="V161" s="74"/>
      <c r="W161" s="19"/>
      <c r="X161" s="74"/>
      <c r="Y161" s="19"/>
      <c r="Z161" s="74"/>
      <c r="AA161" s="19"/>
      <c r="AB161" s="74"/>
      <c r="AC161" s="49">
        <f t="shared" si="31"/>
        <v>0</v>
      </c>
      <c r="AD161" s="73">
        <f t="shared" si="32"/>
        <v>0</v>
      </c>
    </row>
    <row r="162" spans="3:30">
      <c r="C162" s="75"/>
      <c r="D162" s="76"/>
      <c r="E162" s="19"/>
      <c r="F162" s="74"/>
      <c r="G162" s="19"/>
      <c r="H162" s="74"/>
      <c r="I162" s="19"/>
      <c r="J162" s="74"/>
      <c r="K162" s="19"/>
      <c r="L162" s="74"/>
      <c r="M162" s="19"/>
      <c r="N162" s="74"/>
      <c r="O162" s="19"/>
      <c r="P162" s="74"/>
      <c r="Q162" s="19"/>
      <c r="R162" s="74"/>
      <c r="S162" s="19"/>
      <c r="T162" s="74"/>
      <c r="U162" s="19"/>
      <c r="V162" s="74"/>
      <c r="W162" s="19"/>
      <c r="X162" s="74"/>
      <c r="Y162" s="19"/>
      <c r="Z162" s="74"/>
      <c r="AA162" s="19"/>
      <c r="AB162" s="74"/>
      <c r="AC162" s="49">
        <f t="shared" si="31"/>
        <v>0</v>
      </c>
      <c r="AD162" s="73">
        <f t="shared" si="32"/>
        <v>0</v>
      </c>
    </row>
    <row r="163" spans="3:30">
      <c r="C163" s="75"/>
      <c r="D163" s="76"/>
      <c r="E163" s="19"/>
      <c r="F163" s="74"/>
      <c r="G163" s="19"/>
      <c r="H163" s="74"/>
      <c r="I163" s="19"/>
      <c r="J163" s="74"/>
      <c r="K163" s="19"/>
      <c r="L163" s="74"/>
      <c r="M163" s="19"/>
      <c r="N163" s="74"/>
      <c r="O163" s="19"/>
      <c r="P163" s="74"/>
      <c r="Q163" s="19"/>
      <c r="R163" s="74"/>
      <c r="S163" s="19"/>
      <c r="T163" s="74"/>
      <c r="U163" s="19"/>
      <c r="V163" s="74"/>
      <c r="W163" s="19"/>
      <c r="X163" s="74"/>
      <c r="Y163" s="19"/>
      <c r="Z163" s="74"/>
      <c r="AA163" s="19"/>
      <c r="AB163" s="74"/>
      <c r="AC163" s="49">
        <f t="shared" si="31"/>
        <v>0</v>
      </c>
      <c r="AD163" s="73">
        <f t="shared" si="32"/>
        <v>0</v>
      </c>
    </row>
    <row r="164" spans="3:30">
      <c r="C164" s="75"/>
      <c r="D164" s="76"/>
      <c r="E164" s="19"/>
      <c r="F164" s="74"/>
      <c r="G164" s="19"/>
      <c r="H164" s="74"/>
      <c r="I164" s="19"/>
      <c r="J164" s="74"/>
      <c r="K164" s="19"/>
      <c r="L164" s="74"/>
      <c r="M164" s="19"/>
      <c r="N164" s="74"/>
      <c r="O164" s="19"/>
      <c r="P164" s="74"/>
      <c r="Q164" s="19"/>
      <c r="R164" s="74"/>
      <c r="S164" s="19"/>
      <c r="T164" s="74"/>
      <c r="U164" s="19"/>
      <c r="V164" s="74"/>
      <c r="W164" s="19"/>
      <c r="X164" s="74"/>
      <c r="Y164" s="19"/>
      <c r="Z164" s="74"/>
      <c r="AA164" s="19"/>
      <c r="AB164" s="74"/>
      <c r="AC164" s="49">
        <f t="shared" si="31"/>
        <v>0</v>
      </c>
      <c r="AD164" s="73">
        <f t="shared" si="32"/>
        <v>0</v>
      </c>
    </row>
    <row r="165" spans="3:30">
      <c r="C165" s="75"/>
      <c r="D165" s="76"/>
      <c r="E165" s="19"/>
      <c r="F165" s="74"/>
      <c r="G165" s="19"/>
      <c r="H165" s="74"/>
      <c r="I165" s="19"/>
      <c r="J165" s="74"/>
      <c r="K165" s="19"/>
      <c r="L165" s="74"/>
      <c r="M165" s="19"/>
      <c r="N165" s="74"/>
      <c r="O165" s="19"/>
      <c r="P165" s="74"/>
      <c r="Q165" s="19"/>
      <c r="R165" s="74"/>
      <c r="S165" s="19"/>
      <c r="T165" s="74"/>
      <c r="U165" s="19"/>
      <c r="V165" s="74"/>
      <c r="W165" s="19"/>
      <c r="X165" s="74"/>
      <c r="Y165" s="19"/>
      <c r="Z165" s="74"/>
      <c r="AA165" s="19"/>
      <c r="AB165" s="74"/>
      <c r="AC165" s="49">
        <f t="shared" si="31"/>
        <v>0</v>
      </c>
      <c r="AD165" s="73">
        <f t="shared" si="32"/>
        <v>0</v>
      </c>
    </row>
    <row r="166" spans="3:30">
      <c r="C166" s="75"/>
      <c r="D166" s="76"/>
      <c r="E166" s="19"/>
      <c r="F166" s="74"/>
      <c r="G166" s="19"/>
      <c r="H166" s="74"/>
      <c r="I166" s="19"/>
      <c r="J166" s="74"/>
      <c r="K166" s="19"/>
      <c r="L166" s="74"/>
      <c r="M166" s="19"/>
      <c r="N166" s="74"/>
      <c r="O166" s="19"/>
      <c r="P166" s="74"/>
      <c r="Q166" s="19"/>
      <c r="R166" s="74"/>
      <c r="S166" s="19"/>
      <c r="T166" s="74"/>
      <c r="U166" s="19"/>
      <c r="V166" s="74"/>
      <c r="W166" s="19"/>
      <c r="X166" s="74"/>
      <c r="Y166" s="19"/>
      <c r="Z166" s="74"/>
      <c r="AA166" s="19"/>
      <c r="AB166" s="74"/>
      <c r="AC166" s="49">
        <f t="shared" si="31"/>
        <v>0</v>
      </c>
      <c r="AD166" s="73">
        <f t="shared" si="32"/>
        <v>0</v>
      </c>
    </row>
    <row r="167" spans="3:30">
      <c r="C167" s="75"/>
      <c r="D167" s="76"/>
      <c r="E167" s="19"/>
      <c r="F167" s="74"/>
      <c r="G167" s="19"/>
      <c r="H167" s="74"/>
      <c r="I167" s="19"/>
      <c r="J167" s="74"/>
      <c r="K167" s="19"/>
      <c r="L167" s="74"/>
      <c r="M167" s="19"/>
      <c r="N167" s="74"/>
      <c r="O167" s="19"/>
      <c r="P167" s="74"/>
      <c r="Q167" s="19"/>
      <c r="R167" s="74"/>
      <c r="S167" s="19"/>
      <c r="T167" s="74"/>
      <c r="U167" s="19"/>
      <c r="V167" s="74"/>
      <c r="W167" s="19"/>
      <c r="X167" s="74"/>
      <c r="Y167" s="19"/>
      <c r="Z167" s="74"/>
      <c r="AA167" s="19"/>
      <c r="AB167" s="74"/>
      <c r="AC167" s="49">
        <f t="shared" si="31"/>
        <v>0</v>
      </c>
      <c r="AD167" s="73">
        <f t="shared" si="32"/>
        <v>0</v>
      </c>
    </row>
    <row r="168" spans="3:30">
      <c r="C168" s="75"/>
      <c r="D168" s="76"/>
      <c r="E168" s="19"/>
      <c r="F168" s="74"/>
      <c r="G168" s="19"/>
      <c r="H168" s="74"/>
      <c r="I168" s="19"/>
      <c r="J168" s="74"/>
      <c r="K168" s="19"/>
      <c r="L168" s="74"/>
      <c r="M168" s="19"/>
      <c r="N168" s="74"/>
      <c r="O168" s="19"/>
      <c r="P168" s="74"/>
      <c r="Q168" s="19"/>
      <c r="R168" s="74"/>
      <c r="S168" s="19"/>
      <c r="T168" s="74"/>
      <c r="U168" s="19"/>
      <c r="V168" s="74"/>
      <c r="W168" s="19"/>
      <c r="X168" s="74"/>
      <c r="Y168" s="19"/>
      <c r="Z168" s="74"/>
      <c r="AA168" s="19"/>
      <c r="AB168" s="74"/>
      <c r="AC168" s="49">
        <f t="shared" si="31"/>
        <v>0</v>
      </c>
      <c r="AD168" s="73">
        <f t="shared" si="32"/>
        <v>0</v>
      </c>
    </row>
    <row r="169" spans="3:30">
      <c r="C169" s="75"/>
      <c r="D169" s="76"/>
      <c r="E169" s="19"/>
      <c r="F169" s="74"/>
      <c r="G169" s="19"/>
      <c r="H169" s="74"/>
      <c r="I169" s="19"/>
      <c r="J169" s="74"/>
      <c r="K169" s="19"/>
      <c r="L169" s="74"/>
      <c r="M169" s="19"/>
      <c r="N169" s="74"/>
      <c r="O169" s="19"/>
      <c r="P169" s="74"/>
      <c r="Q169" s="19"/>
      <c r="R169" s="74"/>
      <c r="S169" s="19"/>
      <c r="T169" s="74"/>
      <c r="U169" s="19"/>
      <c r="V169" s="74"/>
      <c r="W169" s="19"/>
      <c r="X169" s="74"/>
      <c r="Y169" s="19"/>
      <c r="Z169" s="74"/>
      <c r="AA169" s="19"/>
      <c r="AB169" s="74"/>
      <c r="AC169" s="49">
        <f t="shared" si="31"/>
        <v>0</v>
      </c>
      <c r="AD169" s="73">
        <f t="shared" si="32"/>
        <v>0</v>
      </c>
    </row>
    <row r="170" spans="3:30">
      <c r="C170" s="75"/>
      <c r="D170" s="76"/>
      <c r="E170" s="19"/>
      <c r="F170" s="74"/>
      <c r="G170" s="19"/>
      <c r="H170" s="74"/>
      <c r="I170" s="19"/>
      <c r="J170" s="74"/>
      <c r="K170" s="19"/>
      <c r="L170" s="74"/>
      <c r="M170" s="19"/>
      <c r="N170" s="74"/>
      <c r="O170" s="19"/>
      <c r="P170" s="74"/>
      <c r="Q170" s="19"/>
      <c r="R170" s="74"/>
      <c r="S170" s="19"/>
      <c r="T170" s="74"/>
      <c r="U170" s="19"/>
      <c r="V170" s="74"/>
      <c r="W170" s="19"/>
      <c r="X170" s="74"/>
      <c r="Y170" s="19"/>
      <c r="Z170" s="74"/>
      <c r="AA170" s="19"/>
      <c r="AB170" s="74"/>
      <c r="AC170" s="49">
        <f t="shared" si="31"/>
        <v>0</v>
      </c>
      <c r="AD170" s="73">
        <f t="shared" si="32"/>
        <v>0</v>
      </c>
    </row>
    <row r="171" spans="3:30">
      <c r="C171" s="75"/>
      <c r="D171" s="76"/>
      <c r="E171" s="19"/>
      <c r="F171" s="74"/>
      <c r="G171" s="19"/>
      <c r="H171" s="74"/>
      <c r="I171" s="19"/>
      <c r="J171" s="74"/>
      <c r="K171" s="19"/>
      <c r="L171" s="74"/>
      <c r="M171" s="19"/>
      <c r="N171" s="74"/>
      <c r="O171" s="19"/>
      <c r="P171" s="74"/>
      <c r="Q171" s="19"/>
      <c r="R171" s="74"/>
      <c r="S171" s="19"/>
      <c r="T171" s="74"/>
      <c r="U171" s="19"/>
      <c r="V171" s="74"/>
      <c r="W171" s="19"/>
      <c r="X171" s="74"/>
      <c r="Y171" s="19"/>
      <c r="Z171" s="74"/>
      <c r="AA171" s="19"/>
      <c r="AB171" s="74"/>
      <c r="AC171" s="49">
        <f t="shared" si="31"/>
        <v>0</v>
      </c>
      <c r="AD171" s="73">
        <f t="shared" si="32"/>
        <v>0</v>
      </c>
    </row>
    <row r="172" spans="3:30">
      <c r="C172" s="75"/>
      <c r="D172" s="76"/>
      <c r="E172" s="19"/>
      <c r="F172" s="74"/>
      <c r="G172" s="19"/>
      <c r="H172" s="74"/>
      <c r="I172" s="19"/>
      <c r="J172" s="74"/>
      <c r="K172" s="19"/>
      <c r="L172" s="74"/>
      <c r="M172" s="19"/>
      <c r="N172" s="74"/>
      <c r="O172" s="19"/>
      <c r="P172" s="74"/>
      <c r="Q172" s="19"/>
      <c r="R172" s="74"/>
      <c r="S172" s="19"/>
      <c r="T172" s="74"/>
      <c r="U172" s="19"/>
      <c r="V172" s="74"/>
      <c r="W172" s="19"/>
      <c r="X172" s="74"/>
      <c r="Y172" s="19"/>
      <c r="Z172" s="74"/>
      <c r="AA172" s="19"/>
      <c r="AB172" s="74"/>
      <c r="AC172" s="49">
        <f t="shared" si="31"/>
        <v>0</v>
      </c>
      <c r="AD172" s="73">
        <f t="shared" si="32"/>
        <v>0</v>
      </c>
    </row>
    <row r="173" spans="3:30">
      <c r="E173" s="19"/>
      <c r="F173" s="74"/>
      <c r="G173" s="19"/>
      <c r="H173" s="74"/>
      <c r="I173" s="19"/>
      <c r="J173" s="74"/>
      <c r="K173" s="19"/>
      <c r="L173" s="74"/>
      <c r="M173" s="19"/>
      <c r="N173" s="74"/>
      <c r="O173" s="19"/>
      <c r="P173" s="74"/>
      <c r="Q173" s="19"/>
      <c r="R173" s="74"/>
      <c r="S173" s="19"/>
      <c r="T173" s="74"/>
      <c r="U173" s="19"/>
      <c r="V173" s="74"/>
      <c r="W173" s="19"/>
      <c r="X173" s="74"/>
      <c r="Y173" s="19"/>
      <c r="Z173" s="74"/>
      <c r="AA173" s="19"/>
      <c r="AB173" s="74"/>
      <c r="AC173" s="49">
        <f t="shared" si="31"/>
        <v>0</v>
      </c>
      <c r="AD173" s="73">
        <f t="shared" si="32"/>
        <v>0</v>
      </c>
    </row>
    <row r="174" spans="3:30">
      <c r="E174" s="19"/>
      <c r="F174" s="74"/>
      <c r="G174" s="19"/>
      <c r="H174" s="74"/>
      <c r="I174" s="19"/>
      <c r="J174" s="74"/>
      <c r="K174" s="19"/>
      <c r="L174" s="74"/>
      <c r="M174" s="19"/>
      <c r="N174" s="74"/>
      <c r="O174" s="19"/>
      <c r="P174" s="74"/>
      <c r="Q174" s="19"/>
      <c r="R174" s="74"/>
      <c r="S174" s="19"/>
      <c r="T174" s="74"/>
      <c r="U174" s="19"/>
      <c r="V174" s="74"/>
      <c r="W174" s="19"/>
      <c r="X174" s="74"/>
      <c r="Y174" s="19"/>
      <c r="Z174" s="74"/>
      <c r="AA174" s="19"/>
      <c r="AB174" s="74"/>
      <c r="AC174" s="49">
        <f t="shared" si="31"/>
        <v>0</v>
      </c>
      <c r="AD174" s="73">
        <f t="shared" si="32"/>
        <v>0</v>
      </c>
    </row>
    <row r="175" spans="3:30">
      <c r="E175" s="19"/>
      <c r="F175" s="74"/>
      <c r="G175" s="19"/>
      <c r="H175" s="74"/>
      <c r="I175" s="19"/>
      <c r="J175" s="74"/>
      <c r="K175" s="19"/>
      <c r="L175" s="74"/>
      <c r="M175" s="19"/>
      <c r="N175" s="74"/>
      <c r="O175" s="19"/>
      <c r="P175" s="74"/>
      <c r="Q175" s="19"/>
      <c r="R175" s="74"/>
      <c r="S175" s="19"/>
      <c r="T175" s="74"/>
      <c r="U175" s="19"/>
      <c r="V175" s="74"/>
      <c r="W175" s="19"/>
      <c r="X175" s="74"/>
      <c r="Y175" s="19"/>
      <c r="Z175" s="74"/>
      <c r="AA175" s="19"/>
      <c r="AB175" s="74"/>
      <c r="AC175" s="49">
        <f t="shared" si="31"/>
        <v>0</v>
      </c>
      <c r="AD175" s="73">
        <f t="shared" si="32"/>
        <v>0</v>
      </c>
    </row>
    <row r="176" spans="3:30">
      <c r="E176" s="19"/>
      <c r="F176" s="74"/>
      <c r="G176" s="19"/>
      <c r="H176" s="74"/>
      <c r="I176" s="19"/>
      <c r="J176" s="74"/>
      <c r="K176" s="19"/>
      <c r="L176" s="74"/>
      <c r="M176" s="19"/>
      <c r="N176" s="74"/>
      <c r="O176" s="19"/>
      <c r="P176" s="74"/>
      <c r="Q176" s="19"/>
      <c r="R176" s="74"/>
      <c r="S176" s="19"/>
      <c r="T176" s="74"/>
      <c r="U176" s="19"/>
      <c r="V176" s="74"/>
      <c r="W176" s="19"/>
      <c r="X176" s="74"/>
      <c r="Y176" s="19"/>
      <c r="Z176" s="74"/>
      <c r="AA176" s="19"/>
      <c r="AB176" s="74"/>
      <c r="AC176" s="49">
        <f t="shared" ref="AC176:AC188" si="57">AA176+Y176+W176+U176+S176+Q176+O176+M176+K176+I176+G176+E176</f>
        <v>0</v>
      </c>
      <c r="AD176" s="73">
        <f t="shared" ref="AD176:AD188" si="58">AB176+Z176+X176+V176+T176+R176+P176+N176+L176+J176+H176+F176</f>
        <v>0</v>
      </c>
    </row>
    <row r="177" spans="5:30">
      <c r="E177" s="19"/>
      <c r="F177" s="74"/>
      <c r="G177" s="19"/>
      <c r="H177" s="74"/>
      <c r="I177" s="19"/>
      <c r="J177" s="74"/>
      <c r="K177" s="19"/>
      <c r="L177" s="74"/>
      <c r="M177" s="19"/>
      <c r="N177" s="74"/>
      <c r="O177" s="19"/>
      <c r="P177" s="74"/>
      <c r="Q177" s="19"/>
      <c r="R177" s="74"/>
      <c r="S177" s="19"/>
      <c r="T177" s="74"/>
      <c r="U177" s="19"/>
      <c r="V177" s="74"/>
      <c r="W177" s="19"/>
      <c r="X177" s="74"/>
      <c r="Y177" s="19"/>
      <c r="Z177" s="74"/>
      <c r="AA177" s="19"/>
      <c r="AB177" s="74"/>
      <c r="AC177" s="49">
        <f t="shared" si="57"/>
        <v>0</v>
      </c>
      <c r="AD177" s="73">
        <f t="shared" si="58"/>
        <v>0</v>
      </c>
    </row>
    <row r="178" spans="5:30">
      <c r="E178" s="19"/>
      <c r="F178" s="74"/>
      <c r="G178" s="19"/>
      <c r="H178" s="74"/>
      <c r="I178" s="19"/>
      <c r="J178" s="74"/>
      <c r="K178" s="19"/>
      <c r="L178" s="74"/>
      <c r="M178" s="19"/>
      <c r="N178" s="74"/>
      <c r="O178" s="19"/>
      <c r="P178" s="74"/>
      <c r="Q178" s="19"/>
      <c r="R178" s="74"/>
      <c r="S178" s="19"/>
      <c r="T178" s="74"/>
      <c r="U178" s="19"/>
      <c r="V178" s="74"/>
      <c r="W178" s="19"/>
      <c r="X178" s="74"/>
      <c r="Y178" s="19"/>
      <c r="Z178" s="74"/>
      <c r="AA178" s="19"/>
      <c r="AB178" s="74"/>
      <c r="AC178" s="49">
        <f t="shared" si="57"/>
        <v>0</v>
      </c>
      <c r="AD178" s="73">
        <f t="shared" si="58"/>
        <v>0</v>
      </c>
    </row>
    <row r="179" spans="5:30">
      <c r="E179" s="19"/>
      <c r="F179" s="74"/>
      <c r="G179" s="19"/>
      <c r="H179" s="74"/>
      <c r="I179" s="19"/>
      <c r="J179" s="74"/>
      <c r="K179" s="19"/>
      <c r="L179" s="74"/>
      <c r="M179" s="19"/>
      <c r="N179" s="74"/>
      <c r="O179" s="19"/>
      <c r="P179" s="74"/>
      <c r="Q179" s="19"/>
      <c r="R179" s="74"/>
      <c r="S179" s="19"/>
      <c r="T179" s="74"/>
      <c r="U179" s="19"/>
      <c r="V179" s="74"/>
      <c r="W179" s="19"/>
      <c r="X179" s="74"/>
      <c r="Y179" s="19"/>
      <c r="Z179" s="74"/>
      <c r="AA179" s="19"/>
      <c r="AB179" s="74"/>
      <c r="AC179" s="49">
        <f t="shared" si="57"/>
        <v>0</v>
      </c>
      <c r="AD179" s="73">
        <f t="shared" si="58"/>
        <v>0</v>
      </c>
    </row>
    <row r="180" spans="5:30">
      <c r="E180" s="19"/>
      <c r="F180" s="74"/>
      <c r="G180" s="19"/>
      <c r="H180" s="74"/>
      <c r="I180" s="19"/>
      <c r="J180" s="74"/>
      <c r="K180" s="19"/>
      <c r="L180" s="74"/>
      <c r="M180" s="19"/>
      <c r="N180" s="74"/>
      <c r="O180" s="19"/>
      <c r="P180" s="74"/>
      <c r="Q180" s="19"/>
      <c r="R180" s="74"/>
      <c r="S180" s="19"/>
      <c r="T180" s="74"/>
      <c r="U180" s="19"/>
      <c r="V180" s="74"/>
      <c r="W180" s="19"/>
      <c r="X180" s="74"/>
      <c r="Y180" s="19"/>
      <c r="Z180" s="74"/>
      <c r="AA180" s="19"/>
      <c r="AB180" s="74"/>
      <c r="AC180" s="49">
        <f t="shared" si="57"/>
        <v>0</v>
      </c>
      <c r="AD180" s="73">
        <f t="shared" si="58"/>
        <v>0</v>
      </c>
    </row>
    <row r="181" spans="5:30">
      <c r="E181" s="19"/>
      <c r="F181" s="74"/>
      <c r="G181" s="19"/>
      <c r="H181" s="74"/>
      <c r="I181" s="19"/>
      <c r="J181" s="74"/>
      <c r="K181" s="19"/>
      <c r="L181" s="74"/>
      <c r="M181" s="19"/>
      <c r="N181" s="74"/>
      <c r="O181" s="19"/>
      <c r="P181" s="74"/>
      <c r="Q181" s="19"/>
      <c r="R181" s="74"/>
      <c r="S181" s="19"/>
      <c r="T181" s="74"/>
      <c r="U181" s="19"/>
      <c r="V181" s="74"/>
      <c r="W181" s="19"/>
      <c r="X181" s="74"/>
      <c r="Y181" s="19"/>
      <c r="Z181" s="74"/>
      <c r="AA181" s="19"/>
      <c r="AB181" s="74"/>
      <c r="AC181" s="49">
        <f t="shared" si="57"/>
        <v>0</v>
      </c>
      <c r="AD181" s="73">
        <f t="shared" si="58"/>
        <v>0</v>
      </c>
    </row>
    <row r="182" spans="5:30">
      <c r="E182" s="19"/>
      <c r="F182" s="74"/>
      <c r="G182" s="19"/>
      <c r="H182" s="74"/>
      <c r="I182" s="19"/>
      <c r="J182" s="74"/>
      <c r="K182" s="19"/>
      <c r="L182" s="74"/>
      <c r="M182" s="19"/>
      <c r="N182" s="74"/>
      <c r="O182" s="19"/>
      <c r="P182" s="74"/>
      <c r="Q182" s="19"/>
      <c r="R182" s="74"/>
      <c r="S182" s="19"/>
      <c r="T182" s="74"/>
      <c r="U182" s="19"/>
      <c r="V182" s="74"/>
      <c r="W182" s="19"/>
      <c r="X182" s="74"/>
      <c r="Y182" s="19"/>
      <c r="Z182" s="74"/>
      <c r="AA182" s="19"/>
      <c r="AB182" s="74"/>
      <c r="AC182" s="49">
        <f t="shared" si="57"/>
        <v>0</v>
      </c>
      <c r="AD182" s="73">
        <f t="shared" si="58"/>
        <v>0</v>
      </c>
    </row>
    <row r="183" spans="5:30">
      <c r="E183" s="19"/>
      <c r="F183" s="74"/>
      <c r="G183" s="19"/>
      <c r="H183" s="74"/>
      <c r="I183" s="19"/>
      <c r="J183" s="74"/>
      <c r="K183" s="19"/>
      <c r="L183" s="74"/>
      <c r="M183" s="19"/>
      <c r="N183" s="74"/>
      <c r="O183" s="19"/>
      <c r="P183" s="74"/>
      <c r="Q183" s="19"/>
      <c r="R183" s="74"/>
      <c r="S183" s="19"/>
      <c r="T183" s="74"/>
      <c r="U183" s="19"/>
      <c r="V183" s="74"/>
      <c r="W183" s="19"/>
      <c r="X183" s="74"/>
      <c r="Y183" s="19"/>
      <c r="Z183" s="74"/>
      <c r="AA183" s="19"/>
      <c r="AB183" s="74"/>
      <c r="AC183" s="49">
        <f t="shared" si="57"/>
        <v>0</v>
      </c>
      <c r="AD183" s="73">
        <f t="shared" si="58"/>
        <v>0</v>
      </c>
    </row>
    <row r="184" spans="5:30">
      <c r="E184" s="19"/>
      <c r="F184" s="74"/>
      <c r="G184" s="19"/>
      <c r="H184" s="74"/>
      <c r="I184" s="19"/>
      <c r="J184" s="74"/>
      <c r="K184" s="19"/>
      <c r="L184" s="74"/>
      <c r="M184" s="19"/>
      <c r="N184" s="74"/>
      <c r="O184" s="19"/>
      <c r="P184" s="74"/>
      <c r="Q184" s="19"/>
      <c r="R184" s="74"/>
      <c r="S184" s="19"/>
      <c r="T184" s="74"/>
      <c r="U184" s="19"/>
      <c r="V184" s="74"/>
      <c r="W184" s="19"/>
      <c r="X184" s="74"/>
      <c r="Y184" s="19"/>
      <c r="Z184" s="74"/>
      <c r="AA184" s="19"/>
      <c r="AB184" s="74"/>
      <c r="AC184" s="49">
        <f t="shared" si="57"/>
        <v>0</v>
      </c>
      <c r="AD184" s="73">
        <f t="shared" si="58"/>
        <v>0</v>
      </c>
    </row>
    <row r="185" spans="5:30">
      <c r="E185" s="19"/>
      <c r="F185" s="74"/>
      <c r="G185" s="19"/>
      <c r="H185" s="74"/>
      <c r="I185" s="19"/>
      <c r="J185" s="74"/>
      <c r="K185" s="19"/>
      <c r="L185" s="74"/>
      <c r="M185" s="19"/>
      <c r="N185" s="74"/>
      <c r="O185" s="19"/>
      <c r="P185" s="74"/>
      <c r="Q185" s="19"/>
      <c r="R185" s="74"/>
      <c r="S185" s="19"/>
      <c r="T185" s="74"/>
      <c r="U185" s="19"/>
      <c r="V185" s="74"/>
      <c r="W185" s="19"/>
      <c r="X185" s="74"/>
      <c r="Y185" s="19"/>
      <c r="Z185" s="74"/>
      <c r="AA185" s="19"/>
      <c r="AB185" s="74"/>
      <c r="AC185" s="49">
        <f t="shared" si="57"/>
        <v>0</v>
      </c>
      <c r="AD185" s="73">
        <f t="shared" si="58"/>
        <v>0</v>
      </c>
    </row>
    <row r="186" spans="5:30">
      <c r="E186" s="19"/>
      <c r="F186" s="74"/>
      <c r="G186" s="19"/>
      <c r="H186" s="74"/>
      <c r="I186" s="19"/>
      <c r="J186" s="74"/>
      <c r="K186" s="19"/>
      <c r="L186" s="74"/>
      <c r="M186" s="19"/>
      <c r="N186" s="74"/>
      <c r="O186" s="19"/>
      <c r="P186" s="74"/>
      <c r="Q186" s="19"/>
      <c r="R186" s="74"/>
      <c r="S186" s="19"/>
      <c r="T186" s="74"/>
      <c r="U186" s="19"/>
      <c r="V186" s="74"/>
      <c r="W186" s="19"/>
      <c r="X186" s="74"/>
      <c r="Y186" s="19"/>
      <c r="Z186" s="74"/>
      <c r="AA186" s="19"/>
      <c r="AB186" s="74"/>
      <c r="AC186" s="49">
        <f t="shared" si="57"/>
        <v>0</v>
      </c>
      <c r="AD186" s="73">
        <f t="shared" si="58"/>
        <v>0</v>
      </c>
    </row>
    <row r="187" spans="5:30">
      <c r="E187" s="19"/>
      <c r="F187" s="74"/>
      <c r="G187" s="19"/>
      <c r="H187" s="74"/>
      <c r="I187" s="19"/>
      <c r="J187" s="74"/>
      <c r="K187" s="19"/>
      <c r="L187" s="74"/>
      <c r="M187" s="19"/>
      <c r="N187" s="74"/>
      <c r="O187" s="19"/>
      <c r="P187" s="74"/>
      <c r="Q187" s="19"/>
      <c r="R187" s="74"/>
      <c r="S187" s="19"/>
      <c r="T187" s="74"/>
      <c r="U187" s="19"/>
      <c r="V187" s="74"/>
      <c r="W187" s="19"/>
      <c r="X187" s="74"/>
      <c r="Y187" s="19"/>
      <c r="Z187" s="74"/>
      <c r="AA187" s="19"/>
      <c r="AB187" s="74"/>
      <c r="AC187" s="49">
        <f t="shared" si="57"/>
        <v>0</v>
      </c>
      <c r="AD187" s="73">
        <f t="shared" si="58"/>
        <v>0</v>
      </c>
    </row>
    <row r="188" spans="5:30">
      <c r="E188" s="19"/>
      <c r="F188" s="74"/>
      <c r="G188" s="19"/>
      <c r="H188" s="74"/>
      <c r="I188" s="19"/>
      <c r="J188" s="74"/>
      <c r="K188" s="19"/>
      <c r="L188" s="74"/>
      <c r="M188" s="19"/>
      <c r="N188" s="74"/>
      <c r="O188" s="19"/>
      <c r="P188" s="74"/>
      <c r="Q188" s="19"/>
      <c r="R188" s="74"/>
      <c r="S188" s="19"/>
      <c r="T188" s="74"/>
      <c r="U188" s="19"/>
      <c r="V188" s="74"/>
      <c r="W188" s="19"/>
      <c r="X188" s="74"/>
      <c r="Y188" s="19"/>
      <c r="Z188" s="74"/>
      <c r="AA188" s="19"/>
      <c r="AB188" s="74"/>
      <c r="AC188" s="49">
        <f t="shared" si="57"/>
        <v>0</v>
      </c>
      <c r="AD188" s="73">
        <f t="shared" si="58"/>
        <v>0</v>
      </c>
    </row>
    <row r="189" spans="5:30">
      <c r="E189" s="19"/>
      <c r="F189" s="74"/>
      <c r="G189" s="19"/>
      <c r="H189" s="74"/>
      <c r="I189" s="19"/>
      <c r="J189" s="74"/>
      <c r="K189" s="19"/>
      <c r="L189" s="74"/>
      <c r="M189" s="19"/>
      <c r="N189" s="74"/>
      <c r="O189" s="19"/>
      <c r="P189" s="74"/>
      <c r="Q189" s="19"/>
      <c r="R189" s="74"/>
      <c r="S189" s="19"/>
      <c r="T189" s="74"/>
      <c r="U189" s="19"/>
      <c r="V189" s="74"/>
      <c r="W189" s="19"/>
      <c r="X189" s="74"/>
      <c r="Y189" s="19"/>
      <c r="Z189" s="74"/>
      <c r="AA189" s="19"/>
      <c r="AB189" s="74"/>
      <c r="AC189" s="49">
        <f t="shared" ref="AC189:AC219" si="59">AA189+Y189+W189+U189+S189+Q189+O189+M189+K189+I189+G189+E189</f>
        <v>0</v>
      </c>
      <c r="AD189" s="73">
        <f t="shared" ref="AD189:AD219" si="60">AB189+Z189+X189+V189+T189+R189+P189+N189+L189+J189+H189+F189</f>
        <v>0</v>
      </c>
    </row>
    <row r="190" spans="5:30">
      <c r="E190" s="19"/>
      <c r="F190" s="74"/>
      <c r="G190" s="19"/>
      <c r="H190" s="74"/>
      <c r="I190" s="19"/>
      <c r="J190" s="74"/>
      <c r="K190" s="19"/>
      <c r="L190" s="74"/>
      <c r="M190" s="19"/>
      <c r="N190" s="74"/>
      <c r="O190" s="19"/>
      <c r="P190" s="74"/>
      <c r="Q190" s="19"/>
      <c r="R190" s="74"/>
      <c r="S190" s="19"/>
      <c r="T190" s="74"/>
      <c r="U190" s="19"/>
      <c r="V190" s="74"/>
      <c r="W190" s="19"/>
      <c r="X190" s="74"/>
      <c r="Y190" s="19"/>
      <c r="Z190" s="74"/>
      <c r="AA190" s="19"/>
      <c r="AB190" s="74"/>
      <c r="AC190" s="49">
        <f t="shared" si="59"/>
        <v>0</v>
      </c>
      <c r="AD190" s="73">
        <f t="shared" si="60"/>
        <v>0</v>
      </c>
    </row>
    <row r="191" spans="5:30">
      <c r="E191" s="19"/>
      <c r="F191" s="74"/>
      <c r="G191" s="19"/>
      <c r="H191" s="74"/>
      <c r="I191" s="19"/>
      <c r="J191" s="74"/>
      <c r="K191" s="19"/>
      <c r="L191" s="74"/>
      <c r="M191" s="19"/>
      <c r="N191" s="74"/>
      <c r="O191" s="19"/>
      <c r="P191" s="74"/>
      <c r="Q191" s="19"/>
      <c r="R191" s="74"/>
      <c r="S191" s="19"/>
      <c r="T191" s="74"/>
      <c r="U191" s="19"/>
      <c r="V191" s="74"/>
      <c r="W191" s="19"/>
      <c r="X191" s="74"/>
      <c r="Y191" s="19"/>
      <c r="Z191" s="74"/>
      <c r="AA191" s="19"/>
      <c r="AB191" s="74"/>
      <c r="AC191" s="49">
        <f t="shared" si="59"/>
        <v>0</v>
      </c>
      <c r="AD191" s="73">
        <f t="shared" si="60"/>
        <v>0</v>
      </c>
    </row>
    <row r="192" spans="5:30">
      <c r="E192" s="19"/>
      <c r="F192" s="74"/>
      <c r="G192" s="19"/>
      <c r="H192" s="74"/>
      <c r="I192" s="19"/>
      <c r="J192" s="74"/>
      <c r="K192" s="19"/>
      <c r="L192" s="74"/>
      <c r="M192" s="19"/>
      <c r="N192" s="74"/>
      <c r="O192" s="19"/>
      <c r="P192" s="74"/>
      <c r="Q192" s="19"/>
      <c r="R192" s="74"/>
      <c r="S192" s="19"/>
      <c r="T192" s="74"/>
      <c r="U192" s="19"/>
      <c r="V192" s="74"/>
      <c r="W192" s="19"/>
      <c r="X192" s="74"/>
      <c r="Y192" s="19"/>
      <c r="Z192" s="74"/>
      <c r="AA192" s="19"/>
      <c r="AB192" s="74"/>
      <c r="AC192" s="49">
        <f t="shared" si="59"/>
        <v>0</v>
      </c>
      <c r="AD192" s="73">
        <f t="shared" si="60"/>
        <v>0</v>
      </c>
    </row>
    <row r="193" spans="5:30">
      <c r="E193" s="19"/>
      <c r="F193" s="74"/>
      <c r="G193" s="19"/>
      <c r="H193" s="74"/>
      <c r="I193" s="19"/>
      <c r="J193" s="74"/>
      <c r="K193" s="19"/>
      <c r="L193" s="74"/>
      <c r="M193" s="19"/>
      <c r="N193" s="74"/>
      <c r="O193" s="19"/>
      <c r="P193" s="74"/>
      <c r="Q193" s="19"/>
      <c r="R193" s="74"/>
      <c r="S193" s="19"/>
      <c r="T193" s="74"/>
      <c r="U193" s="19"/>
      <c r="V193" s="74"/>
      <c r="W193" s="19"/>
      <c r="X193" s="74"/>
      <c r="Y193" s="19"/>
      <c r="Z193" s="74"/>
      <c r="AA193" s="19"/>
      <c r="AB193" s="74"/>
      <c r="AC193" s="49">
        <f t="shared" si="59"/>
        <v>0</v>
      </c>
      <c r="AD193" s="73">
        <f t="shared" si="60"/>
        <v>0</v>
      </c>
    </row>
    <row r="194" spans="5:30">
      <c r="E194" s="19"/>
      <c r="F194" s="74"/>
      <c r="G194" s="19"/>
      <c r="H194" s="74"/>
      <c r="I194" s="19"/>
      <c r="J194" s="74"/>
      <c r="K194" s="19"/>
      <c r="L194" s="74"/>
      <c r="M194" s="19"/>
      <c r="N194" s="74"/>
      <c r="O194" s="19"/>
      <c r="P194" s="74"/>
      <c r="Q194" s="19"/>
      <c r="R194" s="74"/>
      <c r="S194" s="19"/>
      <c r="T194" s="74"/>
      <c r="U194" s="19"/>
      <c r="V194" s="74"/>
      <c r="W194" s="19"/>
      <c r="X194" s="74"/>
      <c r="Y194" s="19"/>
      <c r="Z194" s="74"/>
      <c r="AA194" s="19"/>
      <c r="AB194" s="74"/>
      <c r="AC194" s="49">
        <f t="shared" si="59"/>
        <v>0</v>
      </c>
      <c r="AD194" s="73">
        <f t="shared" si="60"/>
        <v>0</v>
      </c>
    </row>
    <row r="195" spans="5:30">
      <c r="E195" s="19"/>
      <c r="F195" s="74"/>
      <c r="G195" s="19"/>
      <c r="H195" s="74"/>
      <c r="I195" s="19"/>
      <c r="J195" s="74"/>
      <c r="K195" s="19"/>
      <c r="L195" s="74"/>
      <c r="M195" s="19"/>
      <c r="N195" s="74"/>
      <c r="O195" s="19"/>
      <c r="P195" s="74"/>
      <c r="Q195" s="19"/>
      <c r="R195" s="74"/>
      <c r="S195" s="19"/>
      <c r="T195" s="74"/>
      <c r="U195" s="19"/>
      <c r="V195" s="74"/>
      <c r="W195" s="19"/>
      <c r="X195" s="74"/>
      <c r="Y195" s="19"/>
      <c r="Z195" s="74"/>
      <c r="AA195" s="19"/>
      <c r="AB195" s="74"/>
      <c r="AC195" s="49">
        <f t="shared" si="59"/>
        <v>0</v>
      </c>
      <c r="AD195" s="73">
        <f t="shared" si="60"/>
        <v>0</v>
      </c>
    </row>
    <row r="196" spans="5:30">
      <c r="E196" s="19"/>
      <c r="F196" s="74"/>
      <c r="G196" s="19"/>
      <c r="H196" s="74"/>
      <c r="I196" s="19"/>
      <c r="J196" s="74"/>
      <c r="K196" s="19"/>
      <c r="L196" s="74"/>
      <c r="M196" s="19"/>
      <c r="N196" s="74"/>
      <c r="O196" s="19"/>
      <c r="P196" s="74"/>
      <c r="Q196" s="19"/>
      <c r="R196" s="74"/>
      <c r="S196" s="19"/>
      <c r="T196" s="74"/>
      <c r="U196" s="19"/>
      <c r="V196" s="74"/>
      <c r="W196" s="19"/>
      <c r="X196" s="74"/>
      <c r="Y196" s="19"/>
      <c r="Z196" s="74"/>
      <c r="AA196" s="19"/>
      <c r="AB196" s="74"/>
      <c r="AC196" s="49">
        <f t="shared" si="59"/>
        <v>0</v>
      </c>
      <c r="AD196" s="73">
        <f t="shared" si="60"/>
        <v>0</v>
      </c>
    </row>
    <row r="197" spans="5:30">
      <c r="E197" s="19"/>
      <c r="F197" s="74"/>
      <c r="G197" s="19"/>
      <c r="H197" s="74"/>
      <c r="I197" s="19"/>
      <c r="J197" s="74"/>
      <c r="K197" s="19"/>
      <c r="L197" s="74"/>
      <c r="M197" s="19"/>
      <c r="N197" s="74"/>
      <c r="O197" s="19"/>
      <c r="P197" s="74"/>
      <c r="Q197" s="19"/>
      <c r="R197" s="74"/>
      <c r="S197" s="19"/>
      <c r="T197" s="74"/>
      <c r="U197" s="19"/>
      <c r="V197" s="74"/>
      <c r="W197" s="19"/>
      <c r="X197" s="74"/>
      <c r="Y197" s="19"/>
      <c r="Z197" s="74"/>
      <c r="AA197" s="19"/>
      <c r="AB197" s="74"/>
      <c r="AC197" s="49">
        <f t="shared" si="59"/>
        <v>0</v>
      </c>
      <c r="AD197" s="73">
        <f t="shared" si="60"/>
        <v>0</v>
      </c>
    </row>
    <row r="198" spans="5:30">
      <c r="E198" s="19"/>
      <c r="F198" s="74"/>
      <c r="G198" s="19"/>
      <c r="H198" s="74"/>
      <c r="I198" s="19"/>
      <c r="J198" s="74"/>
      <c r="K198" s="19"/>
      <c r="L198" s="74"/>
      <c r="M198" s="19"/>
      <c r="N198" s="74"/>
      <c r="O198" s="19"/>
      <c r="P198" s="74"/>
      <c r="Q198" s="19"/>
      <c r="R198" s="74"/>
      <c r="S198" s="19"/>
      <c r="T198" s="74"/>
      <c r="U198" s="19"/>
      <c r="V198" s="74"/>
      <c r="W198" s="19"/>
      <c r="X198" s="74"/>
      <c r="Y198" s="19"/>
      <c r="Z198" s="74"/>
      <c r="AA198" s="19"/>
      <c r="AB198" s="74"/>
      <c r="AC198" s="49">
        <f t="shared" si="59"/>
        <v>0</v>
      </c>
      <c r="AD198" s="73">
        <f t="shared" si="60"/>
        <v>0</v>
      </c>
    </row>
    <row r="199" spans="5:30">
      <c r="E199" s="19"/>
      <c r="F199" s="74"/>
      <c r="G199" s="19"/>
      <c r="H199" s="74"/>
      <c r="I199" s="19"/>
      <c r="J199" s="74"/>
      <c r="K199" s="19"/>
      <c r="L199" s="74"/>
      <c r="M199" s="19"/>
      <c r="N199" s="74"/>
      <c r="O199" s="19"/>
      <c r="P199" s="74"/>
      <c r="Q199" s="19"/>
      <c r="R199" s="74"/>
      <c r="S199" s="19"/>
      <c r="T199" s="74"/>
      <c r="U199" s="19"/>
      <c r="V199" s="74"/>
      <c r="W199" s="19"/>
      <c r="X199" s="74"/>
      <c r="Y199" s="19"/>
      <c r="Z199" s="74"/>
      <c r="AA199" s="19"/>
      <c r="AB199" s="74"/>
      <c r="AC199" s="49">
        <f t="shared" si="59"/>
        <v>0</v>
      </c>
      <c r="AD199" s="73">
        <f t="shared" si="60"/>
        <v>0</v>
      </c>
    </row>
    <row r="200" spans="5:30">
      <c r="E200" s="19"/>
      <c r="F200" s="74"/>
      <c r="G200" s="19"/>
      <c r="H200" s="74"/>
      <c r="I200" s="19"/>
      <c r="J200" s="74"/>
      <c r="K200" s="19"/>
      <c r="L200" s="74"/>
      <c r="M200" s="19"/>
      <c r="N200" s="74"/>
      <c r="O200" s="19"/>
      <c r="P200" s="74"/>
      <c r="Q200" s="19"/>
      <c r="R200" s="74"/>
      <c r="S200" s="19"/>
      <c r="T200" s="74"/>
      <c r="U200" s="19"/>
      <c r="V200" s="74"/>
      <c r="W200" s="19"/>
      <c r="X200" s="74"/>
      <c r="Y200" s="19"/>
      <c r="Z200" s="74"/>
      <c r="AA200" s="19"/>
      <c r="AB200" s="74"/>
      <c r="AC200" s="49">
        <f t="shared" si="59"/>
        <v>0</v>
      </c>
      <c r="AD200" s="73">
        <f t="shared" si="60"/>
        <v>0</v>
      </c>
    </row>
    <row r="201" spans="5:30">
      <c r="E201" s="19"/>
      <c r="F201" s="74"/>
      <c r="G201" s="19"/>
      <c r="H201" s="74"/>
      <c r="I201" s="19"/>
      <c r="J201" s="74"/>
      <c r="K201" s="19"/>
      <c r="L201" s="74"/>
      <c r="M201" s="19"/>
      <c r="N201" s="74"/>
      <c r="O201" s="19"/>
      <c r="P201" s="74"/>
      <c r="Q201" s="19"/>
      <c r="R201" s="74"/>
      <c r="S201" s="19"/>
      <c r="T201" s="74"/>
      <c r="U201" s="19"/>
      <c r="V201" s="74"/>
      <c r="W201" s="19"/>
      <c r="X201" s="74"/>
      <c r="Y201" s="19"/>
      <c r="Z201" s="74"/>
      <c r="AA201" s="19"/>
      <c r="AB201" s="74"/>
      <c r="AC201" s="49">
        <f t="shared" si="59"/>
        <v>0</v>
      </c>
      <c r="AD201" s="73">
        <f t="shared" si="60"/>
        <v>0</v>
      </c>
    </row>
    <row r="202" spans="5:30">
      <c r="E202" s="19"/>
      <c r="F202" s="74"/>
      <c r="G202" s="19"/>
      <c r="H202" s="74"/>
      <c r="I202" s="19"/>
      <c r="J202" s="74"/>
      <c r="K202" s="19"/>
      <c r="L202" s="74"/>
      <c r="M202" s="19"/>
      <c r="N202" s="74"/>
      <c r="O202" s="19"/>
      <c r="P202" s="74"/>
      <c r="Q202" s="19"/>
      <c r="R202" s="74"/>
      <c r="S202" s="19"/>
      <c r="T202" s="74"/>
      <c r="U202" s="19"/>
      <c r="V202" s="74"/>
      <c r="W202" s="19"/>
      <c r="X202" s="74"/>
      <c r="Y202" s="19"/>
      <c r="Z202" s="74"/>
      <c r="AA202" s="19"/>
      <c r="AB202" s="74"/>
      <c r="AC202" s="49">
        <f t="shared" si="59"/>
        <v>0</v>
      </c>
      <c r="AD202" s="73">
        <f t="shared" si="60"/>
        <v>0</v>
      </c>
    </row>
    <row r="203" spans="5:30">
      <c r="E203" s="19"/>
      <c r="F203" s="74"/>
      <c r="G203" s="19"/>
      <c r="H203" s="74"/>
      <c r="I203" s="19"/>
      <c r="J203" s="74"/>
      <c r="K203" s="19"/>
      <c r="L203" s="74"/>
      <c r="M203" s="19"/>
      <c r="N203" s="74"/>
      <c r="O203" s="19"/>
      <c r="P203" s="74"/>
      <c r="Q203" s="19"/>
      <c r="R203" s="74"/>
      <c r="S203" s="19"/>
      <c r="T203" s="74"/>
      <c r="U203" s="19"/>
      <c r="V203" s="74"/>
      <c r="W203" s="19"/>
      <c r="X203" s="74"/>
      <c r="Y203" s="19"/>
      <c r="Z203" s="74"/>
      <c r="AA203" s="19"/>
      <c r="AB203" s="74"/>
      <c r="AC203" s="49">
        <f t="shared" si="59"/>
        <v>0</v>
      </c>
      <c r="AD203" s="73">
        <f t="shared" si="60"/>
        <v>0</v>
      </c>
    </row>
    <row r="204" spans="5:30">
      <c r="E204" s="19"/>
      <c r="F204" s="74"/>
      <c r="G204" s="19"/>
      <c r="H204" s="74"/>
      <c r="I204" s="19"/>
      <c r="J204" s="74"/>
      <c r="K204" s="19"/>
      <c r="L204" s="74"/>
      <c r="M204" s="19"/>
      <c r="N204" s="74"/>
      <c r="O204" s="19"/>
      <c r="P204" s="74"/>
      <c r="Q204" s="19"/>
      <c r="R204" s="74"/>
      <c r="S204" s="19"/>
      <c r="T204" s="74"/>
      <c r="U204" s="19"/>
      <c r="V204" s="74"/>
      <c r="W204" s="19"/>
      <c r="X204" s="74"/>
      <c r="Y204" s="19"/>
      <c r="Z204" s="74"/>
      <c r="AA204" s="19"/>
      <c r="AB204" s="74"/>
      <c r="AC204" s="49">
        <f t="shared" si="59"/>
        <v>0</v>
      </c>
      <c r="AD204" s="73">
        <f t="shared" si="60"/>
        <v>0</v>
      </c>
    </row>
    <row r="205" spans="5:30">
      <c r="E205" s="19"/>
      <c r="F205" s="74"/>
      <c r="G205" s="19"/>
      <c r="H205" s="74"/>
      <c r="I205" s="19"/>
      <c r="J205" s="74"/>
      <c r="K205" s="19"/>
      <c r="L205" s="74"/>
      <c r="M205" s="19"/>
      <c r="N205" s="74"/>
      <c r="O205" s="19"/>
      <c r="P205" s="74"/>
      <c r="Q205" s="19"/>
      <c r="R205" s="74"/>
      <c r="S205" s="19"/>
      <c r="T205" s="74"/>
      <c r="U205" s="19"/>
      <c r="V205" s="74"/>
      <c r="W205" s="19"/>
      <c r="X205" s="74"/>
      <c r="Y205" s="19"/>
      <c r="Z205" s="74"/>
      <c r="AA205" s="19"/>
      <c r="AB205" s="74"/>
      <c r="AC205" s="49">
        <f t="shared" si="59"/>
        <v>0</v>
      </c>
      <c r="AD205" s="73">
        <f t="shared" si="60"/>
        <v>0</v>
      </c>
    </row>
    <row r="206" spans="5:30">
      <c r="E206" s="19"/>
      <c r="F206" s="74"/>
      <c r="G206" s="19"/>
      <c r="H206" s="74"/>
      <c r="I206" s="19"/>
      <c r="J206" s="74"/>
      <c r="K206" s="19"/>
      <c r="L206" s="74"/>
      <c r="M206" s="19"/>
      <c r="N206" s="74"/>
      <c r="O206" s="19"/>
      <c r="P206" s="74"/>
      <c r="Q206" s="19"/>
      <c r="R206" s="74"/>
      <c r="S206" s="19"/>
      <c r="T206" s="74"/>
      <c r="U206" s="19"/>
      <c r="V206" s="74"/>
      <c r="W206" s="19"/>
      <c r="X206" s="74"/>
      <c r="Y206" s="19"/>
      <c r="Z206" s="74"/>
      <c r="AA206" s="19"/>
      <c r="AB206" s="74"/>
      <c r="AC206" s="49">
        <f t="shared" si="59"/>
        <v>0</v>
      </c>
      <c r="AD206" s="73">
        <f t="shared" si="60"/>
        <v>0</v>
      </c>
    </row>
    <row r="207" spans="5:30">
      <c r="E207" s="19"/>
      <c r="F207" s="74"/>
      <c r="G207" s="19"/>
      <c r="H207" s="74"/>
      <c r="I207" s="19"/>
      <c r="J207" s="74"/>
      <c r="K207" s="19"/>
      <c r="L207" s="74"/>
      <c r="M207" s="19"/>
      <c r="N207" s="74"/>
      <c r="O207" s="19"/>
      <c r="P207" s="74"/>
      <c r="Q207" s="19"/>
      <c r="R207" s="74"/>
      <c r="S207" s="19"/>
      <c r="T207" s="74"/>
      <c r="U207" s="19"/>
      <c r="V207" s="74"/>
      <c r="W207" s="19"/>
      <c r="X207" s="74"/>
      <c r="Y207" s="19"/>
      <c r="Z207" s="74"/>
      <c r="AA207" s="19"/>
      <c r="AB207" s="74"/>
      <c r="AC207" s="49">
        <f t="shared" si="59"/>
        <v>0</v>
      </c>
      <c r="AD207" s="73">
        <f t="shared" si="60"/>
        <v>0</v>
      </c>
    </row>
    <row r="208" spans="5:30">
      <c r="E208" s="19"/>
      <c r="F208" s="74"/>
      <c r="G208" s="19"/>
      <c r="H208" s="74"/>
      <c r="I208" s="19"/>
      <c r="J208" s="74"/>
      <c r="K208" s="19"/>
      <c r="L208" s="74"/>
      <c r="M208" s="19"/>
      <c r="N208" s="74"/>
      <c r="O208" s="19"/>
      <c r="P208" s="74"/>
      <c r="Q208" s="19"/>
      <c r="R208" s="74"/>
      <c r="S208" s="19"/>
      <c r="T208" s="74"/>
      <c r="U208" s="19"/>
      <c r="V208" s="74"/>
      <c r="W208" s="19"/>
      <c r="X208" s="74"/>
      <c r="Y208" s="19"/>
      <c r="Z208" s="74"/>
      <c r="AA208" s="19"/>
      <c r="AB208" s="74"/>
      <c r="AC208" s="49">
        <f t="shared" si="59"/>
        <v>0</v>
      </c>
      <c r="AD208" s="73">
        <f t="shared" si="60"/>
        <v>0</v>
      </c>
    </row>
    <row r="209" spans="5:30">
      <c r="E209" s="19"/>
      <c r="F209" s="74"/>
      <c r="G209" s="19"/>
      <c r="H209" s="74"/>
      <c r="I209" s="19"/>
      <c r="J209" s="74"/>
      <c r="K209" s="19"/>
      <c r="L209" s="74"/>
      <c r="M209" s="19"/>
      <c r="N209" s="74"/>
      <c r="O209" s="19"/>
      <c r="P209" s="74"/>
      <c r="Q209" s="19"/>
      <c r="R209" s="74"/>
      <c r="S209" s="19"/>
      <c r="T209" s="74"/>
      <c r="U209" s="19"/>
      <c r="V209" s="74"/>
      <c r="W209" s="19"/>
      <c r="X209" s="74"/>
      <c r="Y209" s="19"/>
      <c r="Z209" s="74"/>
      <c r="AA209" s="19"/>
      <c r="AB209" s="74"/>
      <c r="AC209" s="49">
        <f t="shared" si="59"/>
        <v>0</v>
      </c>
      <c r="AD209" s="73">
        <f t="shared" si="60"/>
        <v>0</v>
      </c>
    </row>
    <row r="210" spans="5:30">
      <c r="E210" s="19"/>
      <c r="F210" s="74"/>
      <c r="G210" s="19"/>
      <c r="H210" s="74"/>
      <c r="I210" s="19"/>
      <c r="J210" s="74"/>
      <c r="K210" s="19"/>
      <c r="L210" s="74"/>
      <c r="M210" s="19"/>
      <c r="N210" s="74"/>
      <c r="O210" s="19"/>
      <c r="P210" s="74"/>
      <c r="Q210" s="19"/>
      <c r="R210" s="74"/>
      <c r="S210" s="19"/>
      <c r="T210" s="74"/>
      <c r="U210" s="19"/>
      <c r="V210" s="74"/>
      <c r="W210" s="19"/>
      <c r="X210" s="74"/>
      <c r="Y210" s="19"/>
      <c r="Z210" s="74"/>
      <c r="AA210" s="19"/>
      <c r="AB210" s="74"/>
      <c r="AC210" s="49">
        <f t="shared" si="59"/>
        <v>0</v>
      </c>
      <c r="AD210" s="73">
        <f t="shared" si="60"/>
        <v>0</v>
      </c>
    </row>
    <row r="211" spans="5:30">
      <c r="E211" s="19"/>
      <c r="F211" s="74"/>
      <c r="G211" s="19"/>
      <c r="H211" s="74"/>
      <c r="I211" s="19"/>
      <c r="J211" s="74"/>
      <c r="K211" s="19"/>
      <c r="L211" s="74"/>
      <c r="M211" s="19"/>
      <c r="N211" s="74"/>
      <c r="O211" s="19"/>
      <c r="P211" s="74"/>
      <c r="Q211" s="19"/>
      <c r="R211" s="74"/>
      <c r="S211" s="19"/>
      <c r="T211" s="74"/>
      <c r="U211" s="19"/>
      <c r="V211" s="74"/>
      <c r="W211" s="19"/>
      <c r="X211" s="74"/>
      <c r="Y211" s="19"/>
      <c r="Z211" s="74"/>
      <c r="AA211" s="19"/>
      <c r="AB211" s="74"/>
      <c r="AC211" s="49">
        <f t="shared" si="59"/>
        <v>0</v>
      </c>
      <c r="AD211" s="73">
        <f t="shared" si="60"/>
        <v>0</v>
      </c>
    </row>
    <row r="212" spans="5:30">
      <c r="E212" s="19"/>
      <c r="F212" s="74"/>
      <c r="G212" s="19"/>
      <c r="H212" s="74"/>
      <c r="I212" s="19"/>
      <c r="J212" s="74"/>
      <c r="K212" s="19"/>
      <c r="L212" s="74"/>
      <c r="M212" s="19"/>
      <c r="N212" s="74"/>
      <c r="O212" s="19"/>
      <c r="P212" s="74"/>
      <c r="Q212" s="19"/>
      <c r="R212" s="74"/>
      <c r="S212" s="19"/>
      <c r="T212" s="74"/>
      <c r="U212" s="19"/>
      <c r="V212" s="74"/>
      <c r="W212" s="19"/>
      <c r="X212" s="74"/>
      <c r="Y212" s="19"/>
      <c r="Z212" s="74"/>
      <c r="AA212" s="19"/>
      <c r="AB212" s="74"/>
      <c r="AC212" s="49">
        <f t="shared" si="59"/>
        <v>0</v>
      </c>
      <c r="AD212" s="73">
        <f t="shared" si="60"/>
        <v>0</v>
      </c>
    </row>
    <row r="213" spans="5:30">
      <c r="E213" s="19"/>
      <c r="F213" s="74"/>
      <c r="G213" s="19"/>
      <c r="H213" s="74"/>
      <c r="I213" s="19"/>
      <c r="J213" s="74"/>
      <c r="K213" s="19"/>
      <c r="L213" s="74"/>
      <c r="M213" s="19"/>
      <c r="N213" s="74"/>
      <c r="O213" s="19"/>
      <c r="P213" s="74"/>
      <c r="Q213" s="19"/>
      <c r="R213" s="74"/>
      <c r="S213" s="19"/>
      <c r="T213" s="74"/>
      <c r="U213" s="19"/>
      <c r="V213" s="74"/>
      <c r="W213" s="19"/>
      <c r="X213" s="74"/>
      <c r="Y213" s="19"/>
      <c r="Z213" s="74"/>
      <c r="AA213" s="19"/>
      <c r="AB213" s="74"/>
      <c r="AC213" s="49">
        <f t="shared" si="59"/>
        <v>0</v>
      </c>
      <c r="AD213" s="73">
        <f t="shared" si="60"/>
        <v>0</v>
      </c>
    </row>
    <row r="214" spans="5:30">
      <c r="E214" s="19"/>
      <c r="F214" s="74"/>
      <c r="G214" s="19"/>
      <c r="H214" s="74"/>
      <c r="I214" s="19"/>
      <c r="J214" s="74"/>
      <c r="K214" s="19"/>
      <c r="L214" s="74"/>
      <c r="M214" s="19"/>
      <c r="N214" s="74"/>
      <c r="O214" s="19"/>
      <c r="P214" s="74"/>
      <c r="Q214" s="19"/>
      <c r="R214" s="74"/>
      <c r="S214" s="19"/>
      <c r="T214" s="74"/>
      <c r="U214" s="19"/>
      <c r="V214" s="74"/>
      <c r="W214" s="19"/>
      <c r="X214" s="74"/>
      <c r="Y214" s="19"/>
      <c r="Z214" s="74"/>
      <c r="AA214" s="19"/>
      <c r="AB214" s="74"/>
      <c r="AC214" s="49">
        <f t="shared" si="59"/>
        <v>0</v>
      </c>
      <c r="AD214" s="73">
        <f t="shared" si="60"/>
        <v>0</v>
      </c>
    </row>
    <row r="215" spans="5:30">
      <c r="E215" s="19"/>
      <c r="F215" s="74"/>
      <c r="G215" s="19"/>
      <c r="H215" s="74"/>
      <c r="I215" s="19"/>
      <c r="J215" s="74"/>
      <c r="K215" s="19"/>
      <c r="L215" s="74"/>
      <c r="M215" s="19"/>
      <c r="N215" s="74"/>
      <c r="O215" s="19"/>
      <c r="P215" s="74"/>
      <c r="Q215" s="19"/>
      <c r="R215" s="74"/>
      <c r="S215" s="19"/>
      <c r="T215" s="74"/>
      <c r="U215" s="19"/>
      <c r="V215" s="74"/>
      <c r="W215" s="19"/>
      <c r="X215" s="74"/>
      <c r="Y215" s="19"/>
      <c r="Z215" s="74"/>
      <c r="AA215" s="19"/>
      <c r="AB215" s="74"/>
      <c r="AC215" s="49">
        <f t="shared" si="59"/>
        <v>0</v>
      </c>
      <c r="AD215" s="73">
        <f t="shared" si="60"/>
        <v>0</v>
      </c>
    </row>
    <row r="216" spans="5:30">
      <c r="E216" s="19"/>
      <c r="F216" s="74"/>
      <c r="G216" s="19"/>
      <c r="H216" s="74"/>
      <c r="I216" s="19"/>
      <c r="J216" s="74"/>
      <c r="K216" s="19"/>
      <c r="L216" s="74"/>
      <c r="M216" s="19"/>
      <c r="N216" s="74"/>
      <c r="O216" s="19"/>
      <c r="P216" s="74"/>
      <c r="Q216" s="19"/>
      <c r="R216" s="74"/>
      <c r="S216" s="19"/>
      <c r="T216" s="74"/>
      <c r="U216" s="19"/>
      <c r="V216" s="74"/>
      <c r="W216" s="19"/>
      <c r="X216" s="74"/>
      <c r="Y216" s="19"/>
      <c r="Z216" s="74"/>
      <c r="AA216" s="19"/>
      <c r="AB216" s="74"/>
      <c r="AC216" s="49">
        <f t="shared" si="59"/>
        <v>0</v>
      </c>
      <c r="AD216" s="73">
        <f t="shared" si="60"/>
        <v>0</v>
      </c>
    </row>
    <row r="217" spans="5:30">
      <c r="E217" s="19"/>
      <c r="F217" s="74"/>
      <c r="G217" s="19"/>
      <c r="H217" s="74"/>
      <c r="I217" s="19"/>
      <c r="J217" s="74"/>
      <c r="K217" s="19"/>
      <c r="L217" s="74"/>
      <c r="M217" s="19"/>
      <c r="N217" s="74"/>
      <c r="O217" s="19"/>
      <c r="P217" s="74"/>
      <c r="Q217" s="19"/>
      <c r="R217" s="74"/>
      <c r="S217" s="19"/>
      <c r="T217" s="74"/>
      <c r="U217" s="19"/>
      <c r="V217" s="74"/>
      <c r="W217" s="19"/>
      <c r="X217" s="74"/>
      <c r="Y217" s="19"/>
      <c r="Z217" s="74"/>
      <c r="AA217" s="19"/>
      <c r="AB217" s="74"/>
      <c r="AC217" s="49">
        <f t="shared" si="59"/>
        <v>0</v>
      </c>
      <c r="AD217" s="73">
        <f t="shared" si="60"/>
        <v>0</v>
      </c>
    </row>
    <row r="218" spans="5:30">
      <c r="E218" s="19"/>
      <c r="F218" s="74"/>
      <c r="G218" s="19"/>
      <c r="H218" s="74"/>
      <c r="I218" s="19"/>
      <c r="J218" s="74"/>
      <c r="K218" s="19"/>
      <c r="L218" s="74"/>
      <c r="M218" s="19"/>
      <c r="N218" s="74"/>
      <c r="O218" s="19"/>
      <c r="P218" s="74"/>
      <c r="Q218" s="19"/>
      <c r="R218" s="74"/>
      <c r="S218" s="19"/>
      <c r="T218" s="74"/>
      <c r="U218" s="19"/>
      <c r="V218" s="74"/>
      <c r="W218" s="19"/>
      <c r="X218" s="74"/>
      <c r="Y218" s="19"/>
      <c r="Z218" s="74"/>
      <c r="AA218" s="19"/>
      <c r="AB218" s="74"/>
      <c r="AC218" s="49">
        <f t="shared" si="59"/>
        <v>0</v>
      </c>
      <c r="AD218" s="73">
        <f t="shared" si="60"/>
        <v>0</v>
      </c>
    </row>
    <row r="219" spans="5:30">
      <c r="E219" s="19"/>
      <c r="F219" s="74"/>
      <c r="G219" s="19"/>
      <c r="H219" s="74"/>
      <c r="I219" s="19"/>
      <c r="J219" s="74"/>
      <c r="K219" s="19"/>
      <c r="L219" s="74"/>
      <c r="M219" s="19"/>
      <c r="N219" s="74"/>
      <c r="O219" s="19"/>
      <c r="P219" s="74"/>
      <c r="Q219" s="19"/>
      <c r="R219" s="74"/>
      <c r="S219" s="19"/>
      <c r="T219" s="74"/>
      <c r="U219" s="19"/>
      <c r="V219" s="74"/>
      <c r="W219" s="19"/>
      <c r="X219" s="74"/>
      <c r="Y219" s="19"/>
      <c r="Z219" s="74"/>
      <c r="AA219" s="19"/>
      <c r="AB219" s="74"/>
      <c r="AC219" s="49">
        <f t="shared" si="59"/>
        <v>0</v>
      </c>
      <c r="AD219" s="73">
        <f t="shared" si="60"/>
        <v>0</v>
      </c>
    </row>
    <row r="220" spans="5:30">
      <c r="E220" s="19"/>
      <c r="F220" s="74"/>
      <c r="G220" s="19"/>
      <c r="H220" s="74"/>
      <c r="I220" s="19"/>
      <c r="J220" s="74"/>
      <c r="K220" s="19"/>
      <c r="L220" s="74"/>
      <c r="M220" s="19"/>
      <c r="N220" s="74"/>
      <c r="O220" s="19"/>
      <c r="P220" s="74"/>
      <c r="Q220" s="19"/>
      <c r="R220" s="74"/>
      <c r="S220" s="19"/>
      <c r="T220" s="74"/>
      <c r="U220" s="19"/>
      <c r="V220" s="74"/>
      <c r="W220" s="19"/>
      <c r="X220" s="74"/>
      <c r="Y220" s="19"/>
      <c r="Z220" s="74"/>
      <c r="AA220" s="19"/>
      <c r="AB220" s="74"/>
      <c r="AC220" s="49">
        <f t="shared" ref="AC220:AC283" si="61">AA220+Y220+W220+U220+S220+Q220+O220+M220+K220+I220+G220+E220</f>
        <v>0</v>
      </c>
      <c r="AD220" s="73">
        <f t="shared" ref="AD220:AD283" si="62">AB220+Z220+X220+V220+T220+R220+P220+N220+L220+J220+H220+F220</f>
        <v>0</v>
      </c>
    </row>
    <row r="221" spans="5:30">
      <c r="E221" s="19"/>
      <c r="F221" s="74"/>
      <c r="G221" s="19"/>
      <c r="H221" s="74"/>
      <c r="I221" s="19"/>
      <c r="J221" s="74"/>
      <c r="K221" s="19"/>
      <c r="L221" s="74"/>
      <c r="M221" s="19"/>
      <c r="N221" s="74"/>
      <c r="O221" s="19"/>
      <c r="P221" s="74"/>
      <c r="Q221" s="19"/>
      <c r="R221" s="74"/>
      <c r="S221" s="19"/>
      <c r="T221" s="74"/>
      <c r="U221" s="19"/>
      <c r="V221" s="74"/>
      <c r="W221" s="19"/>
      <c r="X221" s="74"/>
      <c r="Y221" s="19"/>
      <c r="Z221" s="74"/>
      <c r="AA221" s="19"/>
      <c r="AB221" s="74"/>
      <c r="AC221" s="49">
        <f t="shared" si="61"/>
        <v>0</v>
      </c>
      <c r="AD221" s="73">
        <f t="shared" si="62"/>
        <v>0</v>
      </c>
    </row>
    <row r="222" spans="5:30">
      <c r="E222" s="19"/>
      <c r="F222" s="74"/>
      <c r="G222" s="19"/>
      <c r="H222" s="74"/>
      <c r="I222" s="19"/>
      <c r="J222" s="74"/>
      <c r="K222" s="19"/>
      <c r="L222" s="74"/>
      <c r="M222" s="19"/>
      <c r="N222" s="74"/>
      <c r="O222" s="19"/>
      <c r="P222" s="74"/>
      <c r="Q222" s="19"/>
      <c r="R222" s="74"/>
      <c r="S222" s="19"/>
      <c r="T222" s="74"/>
      <c r="U222" s="19"/>
      <c r="V222" s="74"/>
      <c r="W222" s="19"/>
      <c r="X222" s="74"/>
      <c r="Y222" s="19"/>
      <c r="Z222" s="74"/>
      <c r="AA222" s="19"/>
      <c r="AB222" s="74"/>
      <c r="AC222" s="49">
        <f t="shared" si="61"/>
        <v>0</v>
      </c>
      <c r="AD222" s="73">
        <f t="shared" si="62"/>
        <v>0</v>
      </c>
    </row>
    <row r="223" spans="5:30">
      <c r="E223" s="19"/>
      <c r="F223" s="74"/>
      <c r="G223" s="19"/>
      <c r="H223" s="74"/>
      <c r="I223" s="19"/>
      <c r="J223" s="74"/>
      <c r="K223" s="19"/>
      <c r="L223" s="74"/>
      <c r="M223" s="19"/>
      <c r="N223" s="74"/>
      <c r="O223" s="19"/>
      <c r="P223" s="74"/>
      <c r="Q223" s="19"/>
      <c r="R223" s="74"/>
      <c r="S223" s="19"/>
      <c r="T223" s="74"/>
      <c r="U223" s="19"/>
      <c r="V223" s="74"/>
      <c r="W223" s="19"/>
      <c r="X223" s="74"/>
      <c r="Y223" s="19"/>
      <c r="Z223" s="74"/>
      <c r="AA223" s="19"/>
      <c r="AB223" s="74"/>
      <c r="AC223" s="49">
        <f t="shared" si="61"/>
        <v>0</v>
      </c>
      <c r="AD223" s="73">
        <f t="shared" si="62"/>
        <v>0</v>
      </c>
    </row>
    <row r="224" spans="5:30">
      <c r="E224" s="19"/>
      <c r="F224" s="74"/>
      <c r="G224" s="19"/>
      <c r="H224" s="74"/>
      <c r="I224" s="19"/>
      <c r="J224" s="74"/>
      <c r="K224" s="19"/>
      <c r="L224" s="74"/>
      <c r="M224" s="19"/>
      <c r="N224" s="74"/>
      <c r="O224" s="19"/>
      <c r="P224" s="74"/>
      <c r="Q224" s="19"/>
      <c r="R224" s="74"/>
      <c r="S224" s="19"/>
      <c r="T224" s="74"/>
      <c r="U224" s="19"/>
      <c r="V224" s="74"/>
      <c r="W224" s="19"/>
      <c r="X224" s="74"/>
      <c r="Y224" s="19"/>
      <c r="Z224" s="74"/>
      <c r="AA224" s="19"/>
      <c r="AB224" s="74"/>
      <c r="AC224" s="49">
        <f t="shared" si="61"/>
        <v>0</v>
      </c>
      <c r="AD224" s="73">
        <f t="shared" si="62"/>
        <v>0</v>
      </c>
    </row>
    <row r="225" spans="5:30">
      <c r="E225" s="19"/>
      <c r="F225" s="74"/>
      <c r="G225" s="19"/>
      <c r="H225" s="74"/>
      <c r="I225" s="19"/>
      <c r="J225" s="74"/>
      <c r="K225" s="19"/>
      <c r="L225" s="74"/>
      <c r="M225" s="19"/>
      <c r="N225" s="74"/>
      <c r="O225" s="19"/>
      <c r="P225" s="74"/>
      <c r="Q225" s="19"/>
      <c r="R225" s="74"/>
      <c r="S225" s="19"/>
      <c r="T225" s="74"/>
      <c r="U225" s="19"/>
      <c r="V225" s="74"/>
      <c r="W225" s="19"/>
      <c r="X225" s="74"/>
      <c r="Y225" s="19"/>
      <c r="Z225" s="74"/>
      <c r="AA225" s="19"/>
      <c r="AB225" s="74"/>
      <c r="AC225" s="49">
        <f t="shared" si="61"/>
        <v>0</v>
      </c>
      <c r="AD225" s="73">
        <f t="shared" si="62"/>
        <v>0</v>
      </c>
    </row>
    <row r="226" spans="5:30">
      <c r="E226" s="19"/>
      <c r="F226" s="74"/>
      <c r="G226" s="19"/>
      <c r="H226" s="74"/>
      <c r="I226" s="19"/>
      <c r="J226" s="74"/>
      <c r="K226" s="19"/>
      <c r="L226" s="74"/>
      <c r="M226" s="19"/>
      <c r="N226" s="74"/>
      <c r="O226" s="19"/>
      <c r="P226" s="74"/>
      <c r="Q226" s="19"/>
      <c r="R226" s="74"/>
      <c r="S226" s="19"/>
      <c r="T226" s="74"/>
      <c r="U226" s="19"/>
      <c r="V226" s="74"/>
      <c r="W226" s="19"/>
      <c r="X226" s="74"/>
      <c r="Y226" s="19"/>
      <c r="Z226" s="74"/>
      <c r="AA226" s="19"/>
      <c r="AB226" s="74"/>
      <c r="AC226" s="49">
        <f t="shared" si="61"/>
        <v>0</v>
      </c>
      <c r="AD226" s="73">
        <f t="shared" si="62"/>
        <v>0</v>
      </c>
    </row>
    <row r="227" spans="5:30">
      <c r="E227" s="19"/>
      <c r="F227" s="74"/>
      <c r="G227" s="19"/>
      <c r="H227" s="74"/>
      <c r="I227" s="19"/>
      <c r="J227" s="74"/>
      <c r="K227" s="19"/>
      <c r="L227" s="74"/>
      <c r="M227" s="19"/>
      <c r="N227" s="74"/>
      <c r="O227" s="19"/>
      <c r="P227" s="74"/>
      <c r="Q227" s="19"/>
      <c r="R227" s="74"/>
      <c r="S227" s="19"/>
      <c r="T227" s="74"/>
      <c r="U227" s="19"/>
      <c r="V227" s="74"/>
      <c r="W227" s="19"/>
      <c r="X227" s="74"/>
      <c r="Y227" s="19"/>
      <c r="Z227" s="74"/>
      <c r="AA227" s="19"/>
      <c r="AB227" s="74"/>
      <c r="AC227" s="49">
        <f t="shared" si="61"/>
        <v>0</v>
      </c>
      <c r="AD227" s="73">
        <f t="shared" si="62"/>
        <v>0</v>
      </c>
    </row>
    <row r="228" spans="5:30">
      <c r="E228" s="19"/>
      <c r="F228" s="74"/>
      <c r="G228" s="19"/>
      <c r="H228" s="74"/>
      <c r="I228" s="19"/>
      <c r="J228" s="74"/>
      <c r="K228" s="19"/>
      <c r="L228" s="74"/>
      <c r="M228" s="19"/>
      <c r="N228" s="74"/>
      <c r="O228" s="19"/>
      <c r="P228" s="74"/>
      <c r="Q228" s="19"/>
      <c r="R228" s="74"/>
      <c r="S228" s="19"/>
      <c r="T228" s="74"/>
      <c r="U228" s="19"/>
      <c r="V228" s="74"/>
      <c r="W228" s="19"/>
      <c r="X228" s="74"/>
      <c r="Y228" s="19"/>
      <c r="Z228" s="74"/>
      <c r="AA228" s="19"/>
      <c r="AB228" s="74"/>
      <c r="AC228" s="49">
        <f t="shared" si="61"/>
        <v>0</v>
      </c>
      <c r="AD228" s="73">
        <f t="shared" si="62"/>
        <v>0</v>
      </c>
    </row>
    <row r="229" spans="5:30">
      <c r="E229" s="19"/>
      <c r="F229" s="74"/>
      <c r="G229" s="19"/>
      <c r="H229" s="74"/>
      <c r="I229" s="19"/>
      <c r="J229" s="74"/>
      <c r="K229" s="19"/>
      <c r="L229" s="74"/>
      <c r="M229" s="19"/>
      <c r="N229" s="74"/>
      <c r="O229" s="19"/>
      <c r="P229" s="74"/>
      <c r="Q229" s="19"/>
      <c r="R229" s="74"/>
      <c r="S229" s="19"/>
      <c r="T229" s="74"/>
      <c r="U229" s="19"/>
      <c r="V229" s="74"/>
      <c r="W229" s="19"/>
      <c r="X229" s="74"/>
      <c r="Y229" s="19"/>
      <c r="Z229" s="74"/>
      <c r="AA229" s="19"/>
      <c r="AB229" s="74"/>
      <c r="AC229" s="49">
        <f t="shared" si="61"/>
        <v>0</v>
      </c>
      <c r="AD229" s="73">
        <f t="shared" si="62"/>
        <v>0</v>
      </c>
    </row>
    <row r="230" spans="5:30">
      <c r="E230" s="19"/>
      <c r="F230" s="74"/>
      <c r="G230" s="19"/>
      <c r="H230" s="74"/>
      <c r="I230" s="19"/>
      <c r="J230" s="74"/>
      <c r="K230" s="19"/>
      <c r="L230" s="74"/>
      <c r="M230" s="19"/>
      <c r="N230" s="74"/>
      <c r="O230" s="19"/>
      <c r="P230" s="74"/>
      <c r="Q230" s="19"/>
      <c r="R230" s="74"/>
      <c r="S230" s="19"/>
      <c r="T230" s="74"/>
      <c r="U230" s="19"/>
      <c r="V230" s="74"/>
      <c r="W230" s="19"/>
      <c r="X230" s="74"/>
      <c r="Y230" s="19"/>
      <c r="Z230" s="74"/>
      <c r="AA230" s="19"/>
      <c r="AB230" s="74"/>
      <c r="AC230" s="49">
        <f t="shared" si="61"/>
        <v>0</v>
      </c>
      <c r="AD230" s="73">
        <f t="shared" si="62"/>
        <v>0</v>
      </c>
    </row>
    <row r="231" spans="5:30">
      <c r="E231" s="19"/>
      <c r="F231" s="74"/>
      <c r="G231" s="19"/>
      <c r="H231" s="74"/>
      <c r="I231" s="19"/>
      <c r="J231" s="74"/>
      <c r="K231" s="19"/>
      <c r="L231" s="74"/>
      <c r="M231" s="19"/>
      <c r="N231" s="74"/>
      <c r="O231" s="19"/>
      <c r="P231" s="74"/>
      <c r="Q231" s="19"/>
      <c r="R231" s="74"/>
      <c r="S231" s="19"/>
      <c r="T231" s="74"/>
      <c r="U231" s="19"/>
      <c r="V231" s="74"/>
      <c r="W231" s="19"/>
      <c r="X231" s="74"/>
      <c r="Y231" s="19"/>
      <c r="Z231" s="74"/>
      <c r="AA231" s="19"/>
      <c r="AB231" s="74"/>
      <c r="AC231" s="49">
        <f t="shared" si="61"/>
        <v>0</v>
      </c>
      <c r="AD231" s="73">
        <f t="shared" si="62"/>
        <v>0</v>
      </c>
    </row>
    <row r="232" spans="5:30">
      <c r="E232" s="19"/>
      <c r="F232" s="74"/>
      <c r="G232" s="19"/>
      <c r="H232" s="74"/>
      <c r="I232" s="19"/>
      <c r="J232" s="74"/>
      <c r="K232" s="19"/>
      <c r="L232" s="74"/>
      <c r="M232" s="19"/>
      <c r="N232" s="74"/>
      <c r="O232" s="19"/>
      <c r="P232" s="74"/>
      <c r="Q232" s="19"/>
      <c r="R232" s="74"/>
      <c r="S232" s="19"/>
      <c r="T232" s="74"/>
      <c r="U232" s="19"/>
      <c r="V232" s="74"/>
      <c r="W232" s="19"/>
      <c r="X232" s="74"/>
      <c r="Y232" s="19"/>
      <c r="Z232" s="74"/>
      <c r="AA232" s="19"/>
      <c r="AB232" s="74"/>
      <c r="AC232" s="49">
        <f t="shared" si="61"/>
        <v>0</v>
      </c>
      <c r="AD232" s="73">
        <f t="shared" si="62"/>
        <v>0</v>
      </c>
    </row>
    <row r="233" spans="5:30">
      <c r="E233" s="19"/>
      <c r="F233" s="74"/>
      <c r="G233" s="19"/>
      <c r="H233" s="74"/>
      <c r="I233" s="19"/>
      <c r="J233" s="74"/>
      <c r="K233" s="19"/>
      <c r="L233" s="74"/>
      <c r="M233" s="19"/>
      <c r="N233" s="74"/>
      <c r="O233" s="19"/>
      <c r="P233" s="74"/>
      <c r="Q233" s="19"/>
      <c r="R233" s="74"/>
      <c r="S233" s="19"/>
      <c r="T233" s="74"/>
      <c r="U233" s="19"/>
      <c r="V233" s="74"/>
      <c r="W233" s="19"/>
      <c r="X233" s="74"/>
      <c r="Y233" s="19"/>
      <c r="Z233" s="74"/>
      <c r="AA233" s="19"/>
      <c r="AB233" s="74"/>
      <c r="AC233" s="49">
        <f t="shared" si="61"/>
        <v>0</v>
      </c>
      <c r="AD233" s="73">
        <f t="shared" si="62"/>
        <v>0</v>
      </c>
    </row>
    <row r="234" spans="5:30">
      <c r="E234" s="19"/>
      <c r="F234" s="74"/>
      <c r="G234" s="19"/>
      <c r="H234" s="74"/>
      <c r="I234" s="19"/>
      <c r="J234" s="74"/>
      <c r="K234" s="19"/>
      <c r="L234" s="74"/>
      <c r="M234" s="19"/>
      <c r="N234" s="74"/>
      <c r="O234" s="19"/>
      <c r="P234" s="74"/>
      <c r="Q234" s="19"/>
      <c r="R234" s="74"/>
      <c r="S234" s="19"/>
      <c r="T234" s="74"/>
      <c r="U234" s="19"/>
      <c r="V234" s="74"/>
      <c r="W234" s="19"/>
      <c r="X234" s="74"/>
      <c r="Y234" s="19"/>
      <c r="Z234" s="74"/>
      <c r="AA234" s="19"/>
      <c r="AB234" s="74"/>
      <c r="AC234" s="49">
        <f t="shared" si="61"/>
        <v>0</v>
      </c>
      <c r="AD234" s="73">
        <f t="shared" si="62"/>
        <v>0</v>
      </c>
    </row>
    <row r="235" spans="5:30">
      <c r="E235" s="19"/>
      <c r="F235" s="74"/>
      <c r="G235" s="19"/>
      <c r="H235" s="74"/>
      <c r="I235" s="19"/>
      <c r="J235" s="74"/>
      <c r="K235" s="19"/>
      <c r="L235" s="74"/>
      <c r="M235" s="19"/>
      <c r="N235" s="74"/>
      <c r="O235" s="19"/>
      <c r="P235" s="74"/>
      <c r="Q235" s="19"/>
      <c r="R235" s="74"/>
      <c r="S235" s="19"/>
      <c r="T235" s="74"/>
      <c r="U235" s="19"/>
      <c r="V235" s="74"/>
      <c r="W235" s="19"/>
      <c r="X235" s="74"/>
      <c r="Y235" s="19"/>
      <c r="Z235" s="74"/>
      <c r="AA235" s="19"/>
      <c r="AB235" s="74"/>
      <c r="AC235" s="49">
        <f t="shared" si="61"/>
        <v>0</v>
      </c>
      <c r="AD235" s="73">
        <f t="shared" si="62"/>
        <v>0</v>
      </c>
    </row>
    <row r="236" spans="5:30">
      <c r="E236" s="19"/>
      <c r="F236" s="74"/>
      <c r="G236" s="19"/>
      <c r="H236" s="74"/>
      <c r="I236" s="19"/>
      <c r="J236" s="74"/>
      <c r="K236" s="19"/>
      <c r="L236" s="74"/>
      <c r="M236" s="19"/>
      <c r="N236" s="74"/>
      <c r="O236" s="19"/>
      <c r="P236" s="74"/>
      <c r="Q236" s="19"/>
      <c r="R236" s="74"/>
      <c r="S236" s="19"/>
      <c r="T236" s="74"/>
      <c r="U236" s="19"/>
      <c r="V236" s="74"/>
      <c r="W236" s="19"/>
      <c r="X236" s="74"/>
      <c r="Y236" s="19"/>
      <c r="Z236" s="74"/>
      <c r="AA236" s="19"/>
      <c r="AB236" s="74"/>
      <c r="AC236" s="49">
        <f t="shared" si="61"/>
        <v>0</v>
      </c>
      <c r="AD236" s="73">
        <f t="shared" si="62"/>
        <v>0</v>
      </c>
    </row>
    <row r="237" spans="5:30">
      <c r="E237" s="19"/>
      <c r="F237" s="74"/>
      <c r="G237" s="19"/>
      <c r="H237" s="74"/>
      <c r="I237" s="19"/>
      <c r="J237" s="74"/>
      <c r="K237" s="19"/>
      <c r="L237" s="74"/>
      <c r="M237" s="19"/>
      <c r="N237" s="74"/>
      <c r="O237" s="19"/>
      <c r="P237" s="74"/>
      <c r="Q237" s="19"/>
      <c r="R237" s="74"/>
      <c r="S237" s="19"/>
      <c r="T237" s="74"/>
      <c r="U237" s="19"/>
      <c r="V237" s="74"/>
      <c r="W237" s="19"/>
      <c r="X237" s="74"/>
      <c r="Y237" s="19"/>
      <c r="Z237" s="74"/>
      <c r="AA237" s="19"/>
      <c r="AB237" s="74"/>
      <c r="AC237" s="49">
        <f t="shared" si="61"/>
        <v>0</v>
      </c>
      <c r="AD237" s="73">
        <f t="shared" si="62"/>
        <v>0</v>
      </c>
    </row>
    <row r="238" spans="5:30">
      <c r="E238" s="19"/>
      <c r="F238" s="74"/>
      <c r="G238" s="19"/>
      <c r="H238" s="74"/>
      <c r="I238" s="19"/>
      <c r="J238" s="74"/>
      <c r="K238" s="19"/>
      <c r="L238" s="74"/>
      <c r="M238" s="19"/>
      <c r="N238" s="74"/>
      <c r="O238" s="19"/>
      <c r="P238" s="74"/>
      <c r="Q238" s="19"/>
      <c r="R238" s="74"/>
      <c r="S238" s="19"/>
      <c r="T238" s="74"/>
      <c r="U238" s="19"/>
      <c r="V238" s="74"/>
      <c r="W238" s="19"/>
      <c r="X238" s="74"/>
      <c r="Y238" s="19"/>
      <c r="Z238" s="74"/>
      <c r="AA238" s="19"/>
      <c r="AB238" s="74"/>
      <c r="AC238" s="49">
        <f t="shared" si="61"/>
        <v>0</v>
      </c>
      <c r="AD238" s="73">
        <f t="shared" si="62"/>
        <v>0</v>
      </c>
    </row>
    <row r="239" spans="5:30">
      <c r="E239" s="19"/>
      <c r="F239" s="74"/>
      <c r="G239" s="19"/>
      <c r="H239" s="74"/>
      <c r="I239" s="19"/>
      <c r="J239" s="74"/>
      <c r="K239" s="19"/>
      <c r="L239" s="74"/>
      <c r="M239" s="19"/>
      <c r="N239" s="74"/>
      <c r="O239" s="19"/>
      <c r="P239" s="74"/>
      <c r="Q239" s="19"/>
      <c r="R239" s="74"/>
      <c r="S239" s="19"/>
      <c r="T239" s="74"/>
      <c r="U239" s="19"/>
      <c r="V239" s="74"/>
      <c r="W239" s="19"/>
      <c r="X239" s="74"/>
      <c r="Y239" s="19"/>
      <c r="Z239" s="74"/>
      <c r="AA239" s="19"/>
      <c r="AB239" s="74"/>
      <c r="AC239" s="49">
        <f t="shared" si="61"/>
        <v>0</v>
      </c>
      <c r="AD239" s="73">
        <f t="shared" si="62"/>
        <v>0</v>
      </c>
    </row>
    <row r="240" spans="5:30">
      <c r="E240" s="19"/>
      <c r="F240" s="74"/>
      <c r="G240" s="19"/>
      <c r="H240" s="74"/>
      <c r="I240" s="19"/>
      <c r="J240" s="74"/>
      <c r="K240" s="19"/>
      <c r="L240" s="74"/>
      <c r="M240" s="19"/>
      <c r="N240" s="74"/>
      <c r="O240" s="19"/>
      <c r="P240" s="74"/>
      <c r="Q240" s="19"/>
      <c r="R240" s="74"/>
      <c r="S240" s="19"/>
      <c r="T240" s="74"/>
      <c r="U240" s="19"/>
      <c r="V240" s="74"/>
      <c r="W240" s="19"/>
      <c r="X240" s="74"/>
      <c r="Y240" s="19"/>
      <c r="Z240" s="74"/>
      <c r="AA240" s="19"/>
      <c r="AB240" s="74"/>
      <c r="AC240" s="49">
        <f t="shared" si="61"/>
        <v>0</v>
      </c>
      <c r="AD240" s="73">
        <f t="shared" si="62"/>
        <v>0</v>
      </c>
    </row>
    <row r="241" spans="5:30">
      <c r="E241" s="19"/>
      <c r="F241" s="74"/>
      <c r="G241" s="19"/>
      <c r="H241" s="74"/>
      <c r="I241" s="19"/>
      <c r="J241" s="74"/>
      <c r="K241" s="19"/>
      <c r="L241" s="74"/>
      <c r="M241" s="19"/>
      <c r="N241" s="74"/>
      <c r="O241" s="19"/>
      <c r="P241" s="74"/>
      <c r="Q241" s="19"/>
      <c r="R241" s="74"/>
      <c r="S241" s="19"/>
      <c r="T241" s="74"/>
      <c r="U241" s="19"/>
      <c r="V241" s="74"/>
      <c r="W241" s="19"/>
      <c r="X241" s="74"/>
      <c r="Y241" s="19"/>
      <c r="Z241" s="74"/>
      <c r="AA241" s="19"/>
      <c r="AB241" s="74"/>
      <c r="AC241" s="49">
        <f t="shared" si="61"/>
        <v>0</v>
      </c>
      <c r="AD241" s="73">
        <f t="shared" si="62"/>
        <v>0</v>
      </c>
    </row>
    <row r="242" spans="5:30">
      <c r="E242" s="19"/>
      <c r="F242" s="74"/>
      <c r="G242" s="19"/>
      <c r="H242" s="74"/>
      <c r="I242" s="19"/>
      <c r="J242" s="74"/>
      <c r="K242" s="19"/>
      <c r="L242" s="74"/>
      <c r="M242" s="19"/>
      <c r="N242" s="74"/>
      <c r="O242" s="19"/>
      <c r="P242" s="74"/>
      <c r="Q242" s="19"/>
      <c r="R242" s="74"/>
      <c r="S242" s="19"/>
      <c r="T242" s="74"/>
      <c r="U242" s="19"/>
      <c r="V242" s="74"/>
      <c r="W242" s="19"/>
      <c r="X242" s="74"/>
      <c r="Y242" s="19"/>
      <c r="Z242" s="74"/>
      <c r="AA242" s="19"/>
      <c r="AB242" s="74"/>
      <c r="AC242" s="49">
        <f t="shared" si="61"/>
        <v>0</v>
      </c>
      <c r="AD242" s="73">
        <f t="shared" si="62"/>
        <v>0</v>
      </c>
    </row>
    <row r="243" spans="5:30">
      <c r="E243" s="19"/>
      <c r="F243" s="74"/>
      <c r="G243" s="19"/>
      <c r="H243" s="74"/>
      <c r="I243" s="19"/>
      <c r="J243" s="74"/>
      <c r="K243" s="19"/>
      <c r="L243" s="74"/>
      <c r="M243" s="19"/>
      <c r="N243" s="74"/>
      <c r="O243" s="19"/>
      <c r="P243" s="74"/>
      <c r="Q243" s="19"/>
      <c r="R243" s="74"/>
      <c r="S243" s="19"/>
      <c r="T243" s="74"/>
      <c r="U243" s="19"/>
      <c r="V243" s="74"/>
      <c r="W243" s="19"/>
      <c r="X243" s="74"/>
      <c r="Y243" s="19"/>
      <c r="Z243" s="74"/>
      <c r="AA243" s="19"/>
      <c r="AB243" s="74"/>
      <c r="AC243" s="49">
        <f t="shared" si="61"/>
        <v>0</v>
      </c>
      <c r="AD243" s="73">
        <f t="shared" si="62"/>
        <v>0</v>
      </c>
    </row>
    <row r="244" spans="5:30">
      <c r="E244" s="19"/>
      <c r="F244" s="74"/>
      <c r="G244" s="19"/>
      <c r="H244" s="74"/>
      <c r="I244" s="19"/>
      <c r="J244" s="74"/>
      <c r="K244" s="19"/>
      <c r="L244" s="74"/>
      <c r="M244" s="19"/>
      <c r="N244" s="74"/>
      <c r="O244" s="19"/>
      <c r="P244" s="74"/>
      <c r="Q244" s="19"/>
      <c r="R244" s="74"/>
      <c r="S244" s="19"/>
      <c r="T244" s="74"/>
      <c r="U244" s="19"/>
      <c r="V244" s="74"/>
      <c r="W244" s="19"/>
      <c r="X244" s="74"/>
      <c r="Y244" s="19"/>
      <c r="Z244" s="74"/>
      <c r="AA244" s="19"/>
      <c r="AB244" s="74"/>
      <c r="AC244" s="49">
        <f t="shared" si="61"/>
        <v>0</v>
      </c>
      <c r="AD244" s="73">
        <f t="shared" si="62"/>
        <v>0</v>
      </c>
    </row>
    <row r="245" spans="5:30">
      <c r="E245" s="19"/>
      <c r="F245" s="74"/>
      <c r="G245" s="19"/>
      <c r="H245" s="74"/>
      <c r="I245" s="19"/>
      <c r="J245" s="74"/>
      <c r="K245" s="19"/>
      <c r="L245" s="74"/>
      <c r="M245" s="19"/>
      <c r="N245" s="74"/>
      <c r="O245" s="19"/>
      <c r="P245" s="74"/>
      <c r="Q245" s="19"/>
      <c r="R245" s="74"/>
      <c r="S245" s="19"/>
      <c r="T245" s="74"/>
      <c r="U245" s="19"/>
      <c r="V245" s="74"/>
      <c r="W245" s="19"/>
      <c r="X245" s="74"/>
      <c r="Y245" s="19"/>
      <c r="Z245" s="74"/>
      <c r="AA245" s="19"/>
      <c r="AB245" s="74"/>
      <c r="AC245" s="49">
        <f t="shared" si="61"/>
        <v>0</v>
      </c>
      <c r="AD245" s="73">
        <f t="shared" si="62"/>
        <v>0</v>
      </c>
    </row>
    <row r="246" spans="5:30">
      <c r="E246" s="19"/>
      <c r="F246" s="74"/>
      <c r="G246" s="19"/>
      <c r="H246" s="74"/>
      <c r="I246" s="19"/>
      <c r="J246" s="74"/>
      <c r="K246" s="19"/>
      <c r="L246" s="74"/>
      <c r="M246" s="19"/>
      <c r="N246" s="74"/>
      <c r="O246" s="19"/>
      <c r="P246" s="74"/>
      <c r="Q246" s="19"/>
      <c r="R246" s="74"/>
      <c r="S246" s="19"/>
      <c r="T246" s="74"/>
      <c r="U246" s="19"/>
      <c r="V246" s="74"/>
      <c r="W246" s="19"/>
      <c r="X246" s="74"/>
      <c r="Y246" s="19"/>
      <c r="Z246" s="74"/>
      <c r="AA246" s="19"/>
      <c r="AB246" s="74"/>
      <c r="AC246" s="49">
        <f t="shared" si="61"/>
        <v>0</v>
      </c>
      <c r="AD246" s="73">
        <f t="shared" si="62"/>
        <v>0</v>
      </c>
    </row>
    <row r="247" spans="5:30">
      <c r="E247" s="19"/>
      <c r="F247" s="74"/>
      <c r="G247" s="19"/>
      <c r="H247" s="74"/>
      <c r="I247" s="19"/>
      <c r="J247" s="74"/>
      <c r="K247" s="19"/>
      <c r="L247" s="74"/>
      <c r="M247" s="19"/>
      <c r="N247" s="74"/>
      <c r="O247" s="19"/>
      <c r="P247" s="74"/>
      <c r="Q247" s="19"/>
      <c r="R247" s="74"/>
      <c r="S247" s="19"/>
      <c r="T247" s="74"/>
      <c r="U247" s="19"/>
      <c r="V247" s="74"/>
      <c r="W247" s="19"/>
      <c r="X247" s="74"/>
      <c r="Y247" s="19"/>
      <c r="Z247" s="74"/>
      <c r="AA247" s="19"/>
      <c r="AB247" s="74"/>
      <c r="AC247" s="49">
        <f t="shared" si="61"/>
        <v>0</v>
      </c>
      <c r="AD247" s="73">
        <f t="shared" si="62"/>
        <v>0</v>
      </c>
    </row>
    <row r="248" spans="5:30">
      <c r="AC248" s="49">
        <f t="shared" si="61"/>
        <v>0</v>
      </c>
      <c r="AD248" s="73">
        <f t="shared" si="62"/>
        <v>0</v>
      </c>
    </row>
    <row r="249" spans="5:30">
      <c r="AC249" s="49">
        <f t="shared" si="61"/>
        <v>0</v>
      </c>
      <c r="AD249" s="73">
        <f t="shared" si="62"/>
        <v>0</v>
      </c>
    </row>
    <row r="250" spans="5:30">
      <c r="AC250" s="49">
        <f t="shared" si="61"/>
        <v>0</v>
      </c>
      <c r="AD250" s="73">
        <f t="shared" si="62"/>
        <v>0</v>
      </c>
    </row>
    <row r="251" spans="5:30">
      <c r="AC251" s="49">
        <f t="shared" si="61"/>
        <v>0</v>
      </c>
      <c r="AD251" s="73">
        <f t="shared" si="62"/>
        <v>0</v>
      </c>
    </row>
    <row r="252" spans="5:30">
      <c r="AC252" s="49">
        <f t="shared" si="61"/>
        <v>0</v>
      </c>
      <c r="AD252" s="73">
        <f t="shared" si="62"/>
        <v>0</v>
      </c>
    </row>
    <row r="253" spans="5:30">
      <c r="AC253" s="49">
        <f t="shared" si="61"/>
        <v>0</v>
      </c>
      <c r="AD253" s="73">
        <f t="shared" si="62"/>
        <v>0</v>
      </c>
    </row>
    <row r="254" spans="5:30">
      <c r="AC254" s="49">
        <f t="shared" si="61"/>
        <v>0</v>
      </c>
      <c r="AD254" s="73">
        <f t="shared" si="62"/>
        <v>0</v>
      </c>
    </row>
    <row r="255" spans="5:30">
      <c r="AC255" s="49">
        <f t="shared" si="61"/>
        <v>0</v>
      </c>
      <c r="AD255" s="73">
        <f t="shared" si="62"/>
        <v>0</v>
      </c>
    </row>
    <row r="256" spans="5:30">
      <c r="AC256" s="49">
        <f t="shared" si="61"/>
        <v>0</v>
      </c>
      <c r="AD256" s="73">
        <f t="shared" si="62"/>
        <v>0</v>
      </c>
    </row>
    <row r="257" spans="29:30">
      <c r="AC257" s="49">
        <f t="shared" si="61"/>
        <v>0</v>
      </c>
      <c r="AD257" s="73">
        <f t="shared" si="62"/>
        <v>0</v>
      </c>
    </row>
    <row r="258" spans="29:30">
      <c r="AC258" s="49">
        <f t="shared" si="61"/>
        <v>0</v>
      </c>
      <c r="AD258" s="73">
        <f t="shared" si="62"/>
        <v>0</v>
      </c>
    </row>
    <row r="259" spans="29:30">
      <c r="AC259" s="49">
        <f t="shared" si="61"/>
        <v>0</v>
      </c>
      <c r="AD259" s="73">
        <f t="shared" si="62"/>
        <v>0</v>
      </c>
    </row>
    <row r="260" spans="29:30">
      <c r="AC260" s="49">
        <f t="shared" si="61"/>
        <v>0</v>
      </c>
      <c r="AD260" s="73">
        <f t="shared" si="62"/>
        <v>0</v>
      </c>
    </row>
    <row r="261" spans="29:30">
      <c r="AC261" s="49">
        <f t="shared" si="61"/>
        <v>0</v>
      </c>
      <c r="AD261" s="73">
        <f t="shared" si="62"/>
        <v>0</v>
      </c>
    </row>
    <row r="262" spans="29:30">
      <c r="AC262" s="49">
        <f t="shared" si="61"/>
        <v>0</v>
      </c>
      <c r="AD262" s="73">
        <f t="shared" si="62"/>
        <v>0</v>
      </c>
    </row>
    <row r="263" spans="29:30">
      <c r="AC263" s="49">
        <f t="shared" si="61"/>
        <v>0</v>
      </c>
      <c r="AD263" s="73">
        <f t="shared" si="62"/>
        <v>0</v>
      </c>
    </row>
    <row r="264" spans="29:30">
      <c r="AC264" s="49">
        <f t="shared" si="61"/>
        <v>0</v>
      </c>
      <c r="AD264" s="73">
        <f t="shared" si="62"/>
        <v>0</v>
      </c>
    </row>
    <row r="265" spans="29:30">
      <c r="AC265" s="49">
        <f t="shared" si="61"/>
        <v>0</v>
      </c>
      <c r="AD265" s="73">
        <f t="shared" si="62"/>
        <v>0</v>
      </c>
    </row>
    <row r="266" spans="29:30">
      <c r="AC266" s="49">
        <f t="shared" si="61"/>
        <v>0</v>
      </c>
      <c r="AD266" s="73">
        <f t="shared" si="62"/>
        <v>0</v>
      </c>
    </row>
    <row r="267" spans="29:30">
      <c r="AC267" s="49">
        <f t="shared" si="61"/>
        <v>0</v>
      </c>
      <c r="AD267" s="73">
        <f t="shared" si="62"/>
        <v>0</v>
      </c>
    </row>
    <row r="268" spans="29:30">
      <c r="AC268" s="49">
        <f t="shared" si="61"/>
        <v>0</v>
      </c>
      <c r="AD268" s="73">
        <f t="shared" si="62"/>
        <v>0</v>
      </c>
    </row>
    <row r="269" spans="29:30">
      <c r="AC269" s="49">
        <f t="shared" si="61"/>
        <v>0</v>
      </c>
      <c r="AD269" s="73">
        <f t="shared" si="62"/>
        <v>0</v>
      </c>
    </row>
    <row r="270" spans="29:30">
      <c r="AC270" s="49">
        <f t="shared" si="61"/>
        <v>0</v>
      </c>
      <c r="AD270" s="73">
        <f t="shared" si="62"/>
        <v>0</v>
      </c>
    </row>
    <row r="271" spans="29:30">
      <c r="AC271" s="49">
        <f t="shared" si="61"/>
        <v>0</v>
      </c>
      <c r="AD271" s="73">
        <f t="shared" si="62"/>
        <v>0</v>
      </c>
    </row>
    <row r="272" spans="29:30">
      <c r="AC272" s="49">
        <f t="shared" si="61"/>
        <v>0</v>
      </c>
      <c r="AD272" s="73">
        <f t="shared" si="62"/>
        <v>0</v>
      </c>
    </row>
    <row r="273" spans="29:30">
      <c r="AC273" s="49">
        <f t="shared" si="61"/>
        <v>0</v>
      </c>
      <c r="AD273" s="73">
        <f t="shared" si="62"/>
        <v>0</v>
      </c>
    </row>
    <row r="274" spans="29:30">
      <c r="AC274" s="49">
        <f t="shared" si="61"/>
        <v>0</v>
      </c>
      <c r="AD274" s="73">
        <f t="shared" si="62"/>
        <v>0</v>
      </c>
    </row>
    <row r="275" spans="29:30">
      <c r="AC275" s="49">
        <f t="shared" si="61"/>
        <v>0</v>
      </c>
      <c r="AD275" s="73">
        <f t="shared" si="62"/>
        <v>0</v>
      </c>
    </row>
    <row r="276" spans="29:30">
      <c r="AC276" s="49">
        <f t="shared" si="61"/>
        <v>0</v>
      </c>
      <c r="AD276" s="73">
        <f t="shared" si="62"/>
        <v>0</v>
      </c>
    </row>
    <row r="277" spans="29:30">
      <c r="AC277" s="49">
        <f t="shared" si="61"/>
        <v>0</v>
      </c>
      <c r="AD277" s="73">
        <f t="shared" si="62"/>
        <v>0</v>
      </c>
    </row>
    <row r="278" spans="29:30">
      <c r="AC278" s="49">
        <f t="shared" si="61"/>
        <v>0</v>
      </c>
      <c r="AD278" s="73">
        <f t="shared" si="62"/>
        <v>0</v>
      </c>
    </row>
    <row r="279" spans="29:30">
      <c r="AC279" s="49">
        <f t="shared" si="61"/>
        <v>0</v>
      </c>
      <c r="AD279" s="73">
        <f t="shared" si="62"/>
        <v>0</v>
      </c>
    </row>
    <row r="280" spans="29:30">
      <c r="AC280" s="49">
        <f t="shared" si="61"/>
        <v>0</v>
      </c>
      <c r="AD280" s="73">
        <f t="shared" si="62"/>
        <v>0</v>
      </c>
    </row>
    <row r="281" spans="29:30">
      <c r="AC281" s="49">
        <f t="shared" si="61"/>
        <v>0</v>
      </c>
      <c r="AD281" s="73">
        <f t="shared" si="62"/>
        <v>0</v>
      </c>
    </row>
    <row r="282" spans="29:30">
      <c r="AC282" s="49">
        <f t="shared" si="61"/>
        <v>0</v>
      </c>
      <c r="AD282" s="73">
        <f t="shared" si="62"/>
        <v>0</v>
      </c>
    </row>
    <row r="283" spans="29:30">
      <c r="AC283" s="49">
        <f t="shared" si="61"/>
        <v>0</v>
      </c>
      <c r="AD283" s="73">
        <f t="shared" si="62"/>
        <v>0</v>
      </c>
    </row>
    <row r="284" spans="29:30">
      <c r="AC284" s="49">
        <f t="shared" ref="AC284:AC296" si="63">AA284+Y284+W284+U284+S284+Q284+O284+M284+K284+I284+G284+E284</f>
        <v>0</v>
      </c>
      <c r="AD284" s="73">
        <f t="shared" ref="AD284:AD296" si="64">AB284+Z284+X284+V284+T284+R284+P284+N284+L284+J284+H284+F284</f>
        <v>0</v>
      </c>
    </row>
    <row r="285" spans="29:30">
      <c r="AC285" s="49">
        <f t="shared" si="63"/>
        <v>0</v>
      </c>
      <c r="AD285" s="73">
        <f t="shared" si="64"/>
        <v>0</v>
      </c>
    </row>
    <row r="286" spans="29:30">
      <c r="AC286" s="49">
        <f t="shared" si="63"/>
        <v>0</v>
      </c>
      <c r="AD286" s="73">
        <f t="shared" si="64"/>
        <v>0</v>
      </c>
    </row>
    <row r="287" spans="29:30">
      <c r="AC287" s="49">
        <f t="shared" si="63"/>
        <v>0</v>
      </c>
      <c r="AD287" s="73">
        <f t="shared" si="64"/>
        <v>0</v>
      </c>
    </row>
    <row r="288" spans="29:30">
      <c r="AC288" s="49">
        <f t="shared" si="63"/>
        <v>0</v>
      </c>
      <c r="AD288" s="73">
        <f t="shared" si="64"/>
        <v>0</v>
      </c>
    </row>
    <row r="289" spans="29:30">
      <c r="AC289" s="49">
        <f t="shared" si="63"/>
        <v>0</v>
      </c>
      <c r="AD289" s="73">
        <f t="shared" si="64"/>
        <v>0</v>
      </c>
    </row>
    <row r="290" spans="29:30">
      <c r="AC290" s="49">
        <f t="shared" si="63"/>
        <v>0</v>
      </c>
      <c r="AD290" s="73">
        <f t="shared" si="64"/>
        <v>0</v>
      </c>
    </row>
    <row r="291" spans="29:30">
      <c r="AC291" s="49">
        <f t="shared" si="63"/>
        <v>0</v>
      </c>
      <c r="AD291" s="73">
        <f t="shared" si="64"/>
        <v>0</v>
      </c>
    </row>
    <row r="292" spans="29:30">
      <c r="AC292" s="49">
        <f t="shared" si="63"/>
        <v>0</v>
      </c>
      <c r="AD292" s="73">
        <f t="shared" si="64"/>
        <v>0</v>
      </c>
    </row>
    <row r="293" spans="29:30">
      <c r="AC293" s="49">
        <f t="shared" si="63"/>
        <v>0</v>
      </c>
      <c r="AD293" s="73">
        <f t="shared" si="64"/>
        <v>0</v>
      </c>
    </row>
    <row r="294" spans="29:30">
      <c r="AC294" s="49">
        <f t="shared" si="63"/>
        <v>0</v>
      </c>
      <c r="AD294" s="73">
        <f t="shared" si="64"/>
        <v>0</v>
      </c>
    </row>
    <row r="295" spans="29:30">
      <c r="AC295" s="49">
        <f t="shared" si="63"/>
        <v>0</v>
      </c>
      <c r="AD295" s="73">
        <f t="shared" si="64"/>
        <v>0</v>
      </c>
    </row>
    <row r="296" spans="29:30">
      <c r="AC296" s="49">
        <f t="shared" si="63"/>
        <v>0</v>
      </c>
      <c r="AD296" s="73">
        <f t="shared" si="64"/>
        <v>0</v>
      </c>
    </row>
  </sheetData>
  <sortState xmlns:xlrd2="http://schemas.microsoft.com/office/spreadsheetml/2017/richdata2" ref="A5:AD172">
    <sortCondition descending="1" ref="AC5:AC172"/>
  </sortState>
  <mergeCells count="12">
    <mergeCell ref="I4:J4"/>
    <mergeCell ref="G4:H4"/>
    <mergeCell ref="E4:F4"/>
    <mergeCell ref="AA4:AB4"/>
    <mergeCell ref="Y4:Z4"/>
    <mergeCell ref="W4:X4"/>
    <mergeCell ref="U4:V4"/>
    <mergeCell ref="S4:T4"/>
    <mergeCell ref="Q4:R4"/>
    <mergeCell ref="O4:P4"/>
    <mergeCell ref="M4:N4"/>
    <mergeCell ref="K4:L4"/>
  </mergeCells>
  <pageMargins left="0.7" right="0.7" top="0.75" bottom="0.75" header="0.3" footer="0.3"/>
  <pageSetup paperSize="9" orientation="portrait"/>
  <ignoredErrors>
    <ignoredError sqref="E2 AC2:AD2" formulaRange="1"/>
    <ignoredError sqref="F2 H2" formula="1"/>
    <ignoredError sqref="G2" formula="1" formulaRange="1"/>
  </ignoredErrors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192"/>
  <sheetViews>
    <sheetView topLeftCell="F1" workbookViewId="0">
      <selection activeCell="J3" sqref="J3:AG3"/>
    </sheetView>
  </sheetViews>
  <sheetFormatPr baseColWidth="10" defaultColWidth="9.1640625" defaultRowHeight="15" outlineLevelCol="1"/>
  <cols>
    <col min="1" max="2" width="9.1640625" hidden="1" customWidth="1" outlineLevel="1"/>
    <col min="3" max="3" width="10.5" hidden="1" customWidth="1" outlineLevel="1"/>
    <col min="4" max="5" width="9.1640625" hidden="1" customWidth="1" outlineLevel="1"/>
    <col min="6" max="6" width="15.33203125" bestFit="1" customWidth="1" collapsed="1"/>
    <col min="7" max="7" width="15.33203125" customWidth="1"/>
    <col min="8" max="8" width="12" customWidth="1"/>
    <col min="9" max="9" width="9.5" customWidth="1"/>
    <col min="10" max="10" width="12.6640625" customWidth="1"/>
    <col min="11" max="11" width="14.5" style="10" customWidth="1"/>
    <col min="12" max="12" width="12.6640625" customWidth="1"/>
    <col min="13" max="13" width="12.6640625" style="10" customWidth="1"/>
    <col min="14" max="14" width="12.6640625" customWidth="1"/>
    <col min="15" max="15" width="12.6640625" style="10" customWidth="1"/>
    <col min="16" max="16" width="12.6640625" customWidth="1"/>
    <col min="17" max="17" width="12.6640625" style="10" customWidth="1"/>
    <col min="18" max="18" width="12.6640625" customWidth="1"/>
    <col min="19" max="19" width="12.6640625" style="10" customWidth="1"/>
    <col min="20" max="20" width="12.6640625" customWidth="1"/>
    <col min="21" max="21" width="12.6640625" style="10" customWidth="1"/>
    <col min="22" max="22" width="12.6640625" customWidth="1"/>
    <col min="23" max="23" width="12.6640625" style="10" customWidth="1"/>
    <col min="24" max="24" width="12.6640625" customWidth="1"/>
    <col min="25" max="25" width="12.6640625" style="10" customWidth="1"/>
    <col min="26" max="26" width="12.6640625" customWidth="1"/>
    <col min="27" max="27" width="12.6640625" style="10" customWidth="1"/>
    <col min="28" max="28" width="12.6640625" customWidth="1"/>
    <col min="29" max="29" width="12.6640625" style="10" customWidth="1"/>
    <col min="30" max="30" width="12.6640625" customWidth="1"/>
    <col min="31" max="31" width="12.6640625" style="10" customWidth="1"/>
    <col min="32" max="32" width="12.6640625" customWidth="1"/>
    <col min="33" max="33" width="12.6640625" style="10" customWidth="1"/>
    <col min="34" max="34" width="12.5" bestFit="1" customWidth="1"/>
    <col min="35" max="35" width="15.5" style="10" bestFit="1" customWidth="1"/>
  </cols>
  <sheetData>
    <row r="1" spans="1:41">
      <c r="A1" s="63" t="s">
        <v>9</v>
      </c>
      <c r="B1" s="64"/>
      <c r="C1" s="65"/>
      <c r="D1" s="64"/>
      <c r="E1" s="65"/>
      <c r="F1" s="66"/>
      <c r="G1" s="66"/>
      <c r="H1" s="66"/>
      <c r="I1" s="67"/>
      <c r="J1" s="68">
        <f>SUM(J36:J5000)</f>
        <v>0</v>
      </c>
      <c r="K1" s="70">
        <f>SUM(K36:K5000)</f>
        <v>0</v>
      </c>
      <c r="L1" s="68">
        <f t="shared" ref="L1:AI1" si="0">SUM(L4:L5000)</f>
        <v>0</v>
      </c>
      <c r="M1" s="70">
        <f t="shared" si="0"/>
        <v>0</v>
      </c>
      <c r="N1" s="68">
        <f t="shared" si="0"/>
        <v>0</v>
      </c>
      <c r="O1" s="70">
        <f t="shared" si="0"/>
        <v>0</v>
      </c>
      <c r="P1" s="68">
        <f t="shared" si="0"/>
        <v>0</v>
      </c>
      <c r="Q1" s="70">
        <f t="shared" si="0"/>
        <v>0</v>
      </c>
      <c r="R1" s="68">
        <f t="shared" si="0"/>
        <v>0</v>
      </c>
      <c r="S1" s="70">
        <f t="shared" si="0"/>
        <v>0</v>
      </c>
      <c r="T1" s="68">
        <f t="shared" si="0"/>
        <v>0</v>
      </c>
      <c r="U1" s="70">
        <f t="shared" si="0"/>
        <v>0</v>
      </c>
      <c r="V1" s="68">
        <f t="shared" si="0"/>
        <v>0</v>
      </c>
      <c r="W1" s="70">
        <f t="shared" si="0"/>
        <v>0</v>
      </c>
      <c r="X1" s="68">
        <f t="shared" si="0"/>
        <v>0</v>
      </c>
      <c r="Y1" s="70">
        <f t="shared" si="0"/>
        <v>0</v>
      </c>
      <c r="Z1" s="68">
        <f t="shared" si="0"/>
        <v>0</v>
      </c>
      <c r="AA1" s="70">
        <f t="shared" si="0"/>
        <v>0</v>
      </c>
      <c r="AB1" s="68">
        <f t="shared" si="0"/>
        <v>0</v>
      </c>
      <c r="AC1" s="70">
        <f t="shared" si="0"/>
        <v>0</v>
      </c>
      <c r="AD1" s="68">
        <f t="shared" si="0"/>
        <v>0</v>
      </c>
      <c r="AE1" s="70">
        <f t="shared" si="0"/>
        <v>0</v>
      </c>
      <c r="AF1" s="68">
        <f t="shared" si="0"/>
        <v>0</v>
      </c>
      <c r="AG1" s="70">
        <f t="shared" si="0"/>
        <v>0</v>
      </c>
      <c r="AH1" s="68" t="e">
        <f t="shared" si="0"/>
        <v>#REF!</v>
      </c>
      <c r="AI1" s="70" t="e">
        <f t="shared" si="0"/>
        <v>#REF!</v>
      </c>
      <c r="AJ1" s="51"/>
      <c r="AK1" s="51"/>
      <c r="AL1" s="51"/>
      <c r="AM1" s="46"/>
      <c r="AN1" s="51"/>
      <c r="AO1" s="51"/>
    </row>
    <row r="2" spans="1:41">
      <c r="A2" s="44"/>
      <c r="B2" s="43"/>
      <c r="C2" s="21"/>
      <c r="D2" s="43"/>
      <c r="E2" s="21"/>
      <c r="F2" s="61"/>
      <c r="G2" s="61"/>
      <c r="H2" s="61"/>
      <c r="I2" s="61"/>
      <c r="J2" s="61" t="s">
        <v>19</v>
      </c>
      <c r="K2" s="71" t="s">
        <v>20</v>
      </c>
      <c r="L2" s="61" t="s">
        <v>19</v>
      </c>
      <c r="M2" s="71" t="s">
        <v>20</v>
      </c>
      <c r="N2" s="61" t="s">
        <v>19</v>
      </c>
      <c r="O2" s="71" t="s">
        <v>20</v>
      </c>
      <c r="P2" s="61" t="s">
        <v>19</v>
      </c>
      <c r="Q2" s="71" t="s">
        <v>20</v>
      </c>
      <c r="R2" s="61" t="s">
        <v>19</v>
      </c>
      <c r="S2" s="71" t="s">
        <v>20</v>
      </c>
      <c r="T2" s="61" t="s">
        <v>19</v>
      </c>
      <c r="U2" s="71" t="s">
        <v>20</v>
      </c>
      <c r="V2" s="61" t="s">
        <v>19</v>
      </c>
      <c r="W2" s="71" t="s">
        <v>20</v>
      </c>
      <c r="X2" s="61" t="s">
        <v>19</v>
      </c>
      <c r="Y2" s="71" t="s">
        <v>20</v>
      </c>
      <c r="Z2" s="61" t="s">
        <v>19</v>
      </c>
      <c r="AA2" s="71" t="s">
        <v>20</v>
      </c>
      <c r="AB2" s="61" t="s">
        <v>19</v>
      </c>
      <c r="AC2" s="71" t="s">
        <v>20</v>
      </c>
      <c r="AD2" s="61" t="s">
        <v>19</v>
      </c>
      <c r="AE2" s="71" t="s">
        <v>20</v>
      </c>
      <c r="AF2" s="61" t="s">
        <v>19</v>
      </c>
      <c r="AG2" s="71" t="s">
        <v>20</v>
      </c>
      <c r="AH2" s="61"/>
      <c r="AI2" s="71"/>
      <c r="AJ2" s="51"/>
      <c r="AK2" s="51"/>
      <c r="AL2" s="51"/>
      <c r="AM2" s="46"/>
      <c r="AN2" s="51"/>
      <c r="AO2" s="51"/>
    </row>
    <row r="3" spans="1:41" ht="28">
      <c r="A3" s="60" t="s">
        <v>10</v>
      </c>
      <c r="B3" s="61" t="s">
        <v>11</v>
      </c>
      <c r="C3" s="61" t="s">
        <v>12</v>
      </c>
      <c r="D3" s="61" t="s">
        <v>13</v>
      </c>
      <c r="E3" s="61" t="s">
        <v>14</v>
      </c>
      <c r="F3" s="61" t="s">
        <v>15</v>
      </c>
      <c r="G3" s="61" t="s">
        <v>25</v>
      </c>
      <c r="H3" s="61" t="s">
        <v>26</v>
      </c>
      <c r="I3" s="62" t="s">
        <v>16</v>
      </c>
      <c r="J3" s="86">
        <v>46023</v>
      </c>
      <c r="K3" s="87"/>
      <c r="L3" s="86">
        <v>46054</v>
      </c>
      <c r="M3" s="87"/>
      <c r="N3" s="86">
        <v>46082</v>
      </c>
      <c r="O3" s="87"/>
      <c r="P3" s="86">
        <v>46113</v>
      </c>
      <c r="Q3" s="87"/>
      <c r="R3" s="86">
        <v>46143</v>
      </c>
      <c r="S3" s="87"/>
      <c r="T3" s="86">
        <v>46174</v>
      </c>
      <c r="U3" s="87"/>
      <c r="V3" s="86">
        <v>46204</v>
      </c>
      <c r="W3" s="87"/>
      <c r="X3" s="86">
        <v>46235</v>
      </c>
      <c r="Y3" s="87"/>
      <c r="Z3" s="86">
        <v>46266</v>
      </c>
      <c r="AA3" s="87"/>
      <c r="AB3" s="86">
        <v>46296</v>
      </c>
      <c r="AC3" s="87"/>
      <c r="AD3" s="86">
        <v>46327</v>
      </c>
      <c r="AE3" s="87"/>
      <c r="AF3" s="86">
        <v>46357</v>
      </c>
      <c r="AG3" s="87"/>
      <c r="AH3" s="59" t="s">
        <v>17</v>
      </c>
      <c r="AI3" s="72" t="s">
        <v>18</v>
      </c>
      <c r="AJ3" s="46"/>
      <c r="AK3" s="47"/>
      <c r="AL3" s="46"/>
      <c r="AM3" s="46"/>
      <c r="AN3" s="50"/>
      <c r="AO3" s="46"/>
    </row>
    <row r="4" spans="1:41">
      <c r="A4" s="54" t="s">
        <v>28</v>
      </c>
      <c r="B4" s="58">
        <v>100</v>
      </c>
      <c r="C4" s="48" t="s">
        <v>29</v>
      </c>
      <c r="D4" s="55" t="s">
        <v>35</v>
      </c>
      <c r="E4" s="53">
        <v>2015</v>
      </c>
      <c r="L4" s="69"/>
      <c r="M4" s="25"/>
      <c r="N4" s="57"/>
      <c r="O4" s="20"/>
      <c r="P4" s="69"/>
      <c r="Q4" s="25"/>
      <c r="R4" s="57"/>
      <c r="S4" s="20"/>
      <c r="T4" s="69"/>
      <c r="U4" s="25"/>
      <c r="V4" s="57"/>
      <c r="W4" s="20"/>
      <c r="X4" s="36"/>
      <c r="Y4" s="20"/>
      <c r="Z4" s="36"/>
      <c r="AA4" s="20"/>
      <c r="AB4" s="36"/>
      <c r="AC4" s="20"/>
      <c r="AD4" s="36"/>
      <c r="AE4" s="20"/>
      <c r="AF4" s="36"/>
      <c r="AG4" s="20"/>
      <c r="AH4" s="49" t="e">
        <f>AF4+AD4+AB4+Z4+X4+V4+T4+R4+P4+N4+L4+'input Licensee sales'!#REF!</f>
        <v>#REF!</v>
      </c>
      <c r="AI4" s="73" t="e">
        <f>AG4+AE4+AC4+AA4+Y4+W4+U4+S4+Q4+O4+M4+'input Licensee sales'!#REF!</f>
        <v>#REF!</v>
      </c>
      <c r="AJ4" s="51"/>
      <c r="AK4" s="51"/>
      <c r="AL4" s="51"/>
      <c r="AM4" s="52"/>
      <c r="AN4" s="51"/>
      <c r="AO4" s="51"/>
    </row>
    <row r="5" spans="1:41">
      <c r="A5" s="54" t="s">
        <v>28</v>
      </c>
      <c r="B5" s="58">
        <v>100</v>
      </c>
      <c r="C5" s="48" t="s">
        <v>29</v>
      </c>
      <c r="D5" s="55" t="s">
        <v>35</v>
      </c>
      <c r="E5" s="53">
        <v>2015</v>
      </c>
      <c r="L5" s="69"/>
      <c r="M5" s="25"/>
      <c r="N5" s="57"/>
      <c r="O5" s="20"/>
      <c r="P5" s="69"/>
      <c r="Q5" s="25"/>
      <c r="R5" s="57"/>
      <c r="S5" s="20"/>
      <c r="T5" s="69"/>
      <c r="U5" s="25"/>
      <c r="V5" s="57"/>
      <c r="W5" s="20"/>
      <c r="X5" s="36"/>
      <c r="Y5" s="20"/>
      <c r="Z5" s="36"/>
      <c r="AA5" s="20"/>
      <c r="AB5" s="36"/>
      <c r="AC5" s="20"/>
      <c r="AD5" s="36"/>
      <c r="AE5" s="20"/>
      <c r="AF5" s="36"/>
      <c r="AG5" s="20"/>
      <c r="AH5" s="49" t="e">
        <f>AF5+AD5+AB5+Z5+X5+V5+T5+R5+P5+N5+L5+'input Licensee sales'!#REF!</f>
        <v>#REF!</v>
      </c>
      <c r="AI5" s="73" t="e">
        <f>AG5+AE5+AC5+AA5+Y5+W5+U5+S5+Q5+O5+M5+'input Licensee sales'!#REF!</f>
        <v>#REF!</v>
      </c>
      <c r="AJ5" s="51"/>
      <c r="AK5" s="51"/>
      <c r="AL5" s="51"/>
      <c r="AM5" s="52"/>
      <c r="AN5" s="51"/>
      <c r="AO5" s="51"/>
    </row>
    <row r="6" spans="1:41">
      <c r="A6" s="54" t="s">
        <v>28</v>
      </c>
      <c r="B6" s="58">
        <v>100</v>
      </c>
      <c r="C6" s="48" t="s">
        <v>29</v>
      </c>
      <c r="D6" s="55" t="s">
        <v>35</v>
      </c>
      <c r="E6" s="53">
        <v>2015</v>
      </c>
      <c r="L6" s="69"/>
      <c r="M6" s="25"/>
      <c r="N6" s="57"/>
      <c r="O6" s="20"/>
      <c r="P6" s="69"/>
      <c r="Q6" s="25"/>
      <c r="R6" s="57"/>
      <c r="S6" s="20"/>
      <c r="T6" s="69"/>
      <c r="U6" s="25"/>
      <c r="V6" s="57"/>
      <c r="W6" s="20"/>
      <c r="X6" s="36"/>
      <c r="Y6" s="20"/>
      <c r="Z6" s="36"/>
      <c r="AA6" s="20"/>
      <c r="AB6" s="36"/>
      <c r="AC6" s="20"/>
      <c r="AD6" s="36"/>
      <c r="AE6" s="20"/>
      <c r="AF6" s="36"/>
      <c r="AG6" s="20"/>
      <c r="AH6" s="49">
        <f>AF6+AD6+AB6+Z6+X6+V6+T6+R6+P6+N6+L6+'input Licensee sales'!E5</f>
        <v>-29.332999999999998</v>
      </c>
      <c r="AI6" s="73">
        <f>AG6+AE6+AC6+AA6+Y6+W6+U6+S6+Q6+O6+M6+'input Licensee sales'!F5</f>
        <v>-666772.32000000007</v>
      </c>
      <c r="AJ6" s="51"/>
      <c r="AK6" s="51"/>
      <c r="AL6" s="51"/>
      <c r="AM6" s="52"/>
      <c r="AN6" s="51"/>
      <c r="AO6" s="51"/>
    </row>
    <row r="7" spans="1:41">
      <c r="A7" s="54" t="s">
        <v>28</v>
      </c>
      <c r="B7" s="58">
        <v>100</v>
      </c>
      <c r="C7" s="48" t="s">
        <v>29</v>
      </c>
      <c r="D7" s="55" t="s">
        <v>35</v>
      </c>
      <c r="E7" s="53">
        <v>2015</v>
      </c>
      <c r="L7" s="69"/>
      <c r="M7" s="25"/>
      <c r="N7" s="57"/>
      <c r="O7" s="20"/>
      <c r="P7" s="69"/>
      <c r="Q7" s="25"/>
      <c r="R7" s="57"/>
      <c r="S7" s="20"/>
      <c r="T7" s="69"/>
      <c r="U7" s="25"/>
      <c r="V7" s="57"/>
      <c r="W7" s="20"/>
      <c r="X7" s="36"/>
      <c r="Y7" s="20"/>
      <c r="Z7" s="36"/>
      <c r="AA7" s="20"/>
      <c r="AB7" s="36"/>
      <c r="AC7" s="20"/>
      <c r="AD7" s="36"/>
      <c r="AE7" s="20"/>
      <c r="AF7" s="36"/>
      <c r="AG7" s="20"/>
      <c r="AH7" s="49" t="e">
        <f>AF7+AD7+AB7+Z7+X7+V7+T7+R7+P7+N7+L7+'input Licensee sales'!#REF!</f>
        <v>#REF!</v>
      </c>
      <c r="AI7" s="73" t="e">
        <f>AG7+AE7+AC7+AA7+Y7+W7+U7+S7+Q7+O7+M7+'input Licensee sales'!#REF!</f>
        <v>#REF!</v>
      </c>
      <c r="AJ7" s="51"/>
      <c r="AK7" s="51"/>
      <c r="AL7" s="51"/>
      <c r="AM7" s="52"/>
      <c r="AN7" s="51"/>
      <c r="AO7" s="51"/>
    </row>
    <row r="8" spans="1:41">
      <c r="A8" s="54" t="s">
        <v>28</v>
      </c>
      <c r="B8" s="58">
        <v>100</v>
      </c>
      <c r="C8" s="48" t="s">
        <v>29</v>
      </c>
      <c r="D8" s="55" t="s">
        <v>35</v>
      </c>
      <c r="E8" s="53">
        <v>2015</v>
      </c>
      <c r="L8" s="69"/>
      <c r="M8" s="25"/>
      <c r="N8" s="57"/>
      <c r="O8" s="20"/>
      <c r="P8" s="69"/>
      <c r="Q8" s="25"/>
      <c r="R8" s="57"/>
      <c r="S8" s="20"/>
      <c r="T8" s="69"/>
      <c r="U8" s="25"/>
      <c r="V8" s="57"/>
      <c r="W8" s="20"/>
      <c r="X8" s="36"/>
      <c r="Y8" s="20"/>
      <c r="Z8" s="36"/>
      <c r="AA8" s="20"/>
      <c r="AB8" s="36"/>
      <c r="AC8" s="20"/>
      <c r="AD8" s="36"/>
      <c r="AE8" s="20"/>
      <c r="AF8" s="36"/>
      <c r="AG8" s="20"/>
      <c r="AH8" s="49" t="e">
        <f>AF8+AD8+AB8+Z8+X8+V8+T8+R8+P8+N8+L8+'input Licensee sales'!#REF!</f>
        <v>#REF!</v>
      </c>
      <c r="AI8" s="73" t="e">
        <f>AG8+AE8+AC8+AA8+Y8+W8+U8+S8+Q8+O8+M8+'input Licensee sales'!#REF!</f>
        <v>#REF!</v>
      </c>
      <c r="AJ8" s="51"/>
      <c r="AK8" s="51"/>
      <c r="AL8" s="51"/>
      <c r="AM8" s="52"/>
      <c r="AN8" s="51"/>
      <c r="AO8" s="51"/>
    </row>
    <row r="9" spans="1:41">
      <c r="A9" s="54" t="s">
        <v>28</v>
      </c>
      <c r="B9" s="58">
        <v>100</v>
      </c>
      <c r="C9" s="48" t="s">
        <v>29</v>
      </c>
      <c r="D9" s="55" t="s">
        <v>35</v>
      </c>
      <c r="E9" s="53">
        <v>2015</v>
      </c>
      <c r="L9" s="69"/>
      <c r="M9" s="25"/>
      <c r="N9" s="57"/>
      <c r="O9" s="20"/>
      <c r="P9" s="69"/>
      <c r="Q9" s="25"/>
      <c r="R9" s="57"/>
      <c r="S9" s="20"/>
      <c r="T9" s="69"/>
      <c r="U9" s="25"/>
      <c r="V9" s="57"/>
      <c r="W9" s="20"/>
      <c r="X9" s="36"/>
      <c r="Y9" s="20"/>
      <c r="Z9" s="36"/>
      <c r="AA9" s="20"/>
      <c r="AB9" s="36"/>
      <c r="AC9" s="20"/>
      <c r="AD9" s="36"/>
      <c r="AE9" s="20"/>
      <c r="AF9" s="36"/>
      <c r="AG9" s="20"/>
      <c r="AH9" s="49">
        <f>AF9+AD9+AB9+Z9+X9+V9+T9+R9+P9+N9+L9+'input Licensee sales'!E6</f>
        <v>36.75</v>
      </c>
      <c r="AI9" s="73">
        <f>AG9+AE9+AC9+AA9+Y9+W9+U9+S9+Q9+O9+M9+'input Licensee sales'!F6</f>
        <v>1030690.7999999997</v>
      </c>
      <c r="AJ9" s="51"/>
      <c r="AK9" s="51"/>
      <c r="AL9" s="51"/>
      <c r="AM9" s="52"/>
      <c r="AN9" s="51"/>
      <c r="AO9" s="51"/>
    </row>
    <row r="10" spans="1:41">
      <c r="A10" s="54" t="s">
        <v>28</v>
      </c>
      <c r="B10" s="58">
        <v>100</v>
      </c>
      <c r="C10" s="48" t="s">
        <v>29</v>
      </c>
      <c r="D10" s="55" t="s">
        <v>35</v>
      </c>
      <c r="E10" s="53">
        <v>2015</v>
      </c>
      <c r="L10" s="69"/>
      <c r="M10" s="25"/>
      <c r="N10" s="57"/>
      <c r="O10" s="20"/>
      <c r="P10" s="69"/>
      <c r="Q10" s="25"/>
      <c r="R10" s="57"/>
      <c r="S10" s="20"/>
      <c r="T10" s="69"/>
      <c r="U10" s="25"/>
      <c r="V10" s="57"/>
      <c r="W10" s="20"/>
      <c r="X10" s="36"/>
      <c r="Y10" s="20"/>
      <c r="Z10" s="36"/>
      <c r="AA10" s="20"/>
      <c r="AB10" s="36"/>
      <c r="AC10" s="20"/>
      <c r="AD10" s="36"/>
      <c r="AE10" s="20"/>
      <c r="AF10" s="36"/>
      <c r="AG10" s="20"/>
      <c r="AH10" s="49">
        <f>AF10+AD10+AB10+Z10+X10+V10+T10+R10+P10+N10+L10+'input Licensee sales'!E7</f>
        <v>0</v>
      </c>
      <c r="AI10" s="73">
        <f>AG10+AE10+AC10+AA10+Y10+W10+U10+S10+Q10+O10+M10+'input Licensee sales'!F7</f>
        <v>0</v>
      </c>
      <c r="AJ10" s="51"/>
      <c r="AK10" s="51"/>
      <c r="AL10" s="51"/>
      <c r="AM10" s="52"/>
      <c r="AN10" s="51"/>
      <c r="AO10" s="51"/>
    </row>
    <row r="11" spans="1:41">
      <c r="A11" s="54" t="s">
        <v>28</v>
      </c>
      <c r="B11" s="58">
        <v>100</v>
      </c>
      <c r="C11" s="48" t="s">
        <v>29</v>
      </c>
      <c r="D11" s="55" t="s">
        <v>35</v>
      </c>
      <c r="E11" s="53">
        <v>2015</v>
      </c>
      <c r="L11" s="69"/>
      <c r="M11" s="25"/>
      <c r="N11" s="57"/>
      <c r="O11" s="20"/>
      <c r="P11" s="69"/>
      <c r="Q11" s="25"/>
      <c r="R11" s="57"/>
      <c r="S11" s="20"/>
      <c r="T11" s="69"/>
      <c r="U11" s="25"/>
      <c r="V11" s="57"/>
      <c r="W11" s="20"/>
      <c r="X11" s="36"/>
      <c r="Y11" s="20"/>
      <c r="Z11" s="36"/>
      <c r="AA11" s="20"/>
      <c r="AB11" s="36"/>
      <c r="AC11" s="20"/>
      <c r="AD11" s="36"/>
      <c r="AE11" s="20"/>
      <c r="AF11" s="36"/>
      <c r="AG11" s="20"/>
      <c r="AH11" s="49" t="e">
        <f>AF11+AD11+AB11+Z11+X11+V11+T11+R11+P11+N11+L11+'input Licensee sales'!#REF!</f>
        <v>#REF!</v>
      </c>
      <c r="AI11" s="73" t="e">
        <f>AG11+AE11+AC11+AA11+Y11+W11+U11+S11+Q11+O11+M11+'input Licensee sales'!#REF!</f>
        <v>#REF!</v>
      </c>
      <c r="AJ11" s="51"/>
      <c r="AK11" s="51"/>
      <c r="AL11" s="51"/>
      <c r="AM11" s="52"/>
      <c r="AN11" s="51"/>
      <c r="AO11" s="51"/>
    </row>
    <row r="12" spans="1:41">
      <c r="A12" s="54" t="s">
        <v>28</v>
      </c>
      <c r="B12" s="58">
        <v>100</v>
      </c>
      <c r="C12" s="48" t="s">
        <v>29</v>
      </c>
      <c r="D12" s="55" t="s">
        <v>35</v>
      </c>
      <c r="E12" s="53">
        <v>2015</v>
      </c>
      <c r="L12" s="69"/>
      <c r="M12" s="25"/>
      <c r="N12" s="57"/>
      <c r="O12" s="20"/>
      <c r="P12" s="69"/>
      <c r="Q12" s="25"/>
      <c r="R12" s="57"/>
      <c r="S12" s="20"/>
      <c r="T12" s="69"/>
      <c r="U12" s="25"/>
      <c r="V12" s="57"/>
      <c r="W12" s="20"/>
      <c r="X12" s="36"/>
      <c r="Y12" s="20"/>
      <c r="Z12" s="36"/>
      <c r="AA12" s="20"/>
      <c r="AB12" s="36"/>
      <c r="AC12" s="20"/>
      <c r="AD12" s="36"/>
      <c r="AE12" s="20"/>
      <c r="AF12" s="36"/>
      <c r="AG12" s="20"/>
      <c r="AH12" s="49">
        <f>AF12+AD12+AB12+Z12+X12+V12+T12+R12+P12+N12+L12+'input Licensee sales'!E8</f>
        <v>6199</v>
      </c>
      <c r="AI12" s="73">
        <f>AG12+AE12+AC12+AA12+Y12+W12+U12+S12+Q12+O12+M12+'input Licensee sales'!F8</f>
        <v>116290852.20000006</v>
      </c>
      <c r="AJ12" s="51"/>
      <c r="AK12" s="51"/>
      <c r="AL12" s="51"/>
      <c r="AM12" s="52"/>
      <c r="AN12" s="51"/>
      <c r="AO12" s="51"/>
    </row>
    <row r="13" spans="1:41">
      <c r="A13" s="54" t="s">
        <v>28</v>
      </c>
      <c r="B13" s="58">
        <v>100</v>
      </c>
      <c r="C13" s="48" t="s">
        <v>29</v>
      </c>
      <c r="D13" s="55" t="s">
        <v>35</v>
      </c>
      <c r="E13" s="53">
        <v>2015</v>
      </c>
      <c r="L13" s="69"/>
      <c r="M13" s="25"/>
      <c r="N13" s="57"/>
      <c r="O13" s="20"/>
      <c r="P13" s="69"/>
      <c r="Q13" s="25"/>
      <c r="R13" s="57"/>
      <c r="S13" s="20"/>
      <c r="T13" s="69"/>
      <c r="U13" s="25"/>
      <c r="V13" s="57"/>
      <c r="W13" s="20"/>
      <c r="X13" s="36"/>
      <c r="Y13" s="20"/>
      <c r="Z13" s="36"/>
      <c r="AA13" s="20"/>
      <c r="AB13" s="36"/>
      <c r="AC13" s="20"/>
      <c r="AD13" s="36"/>
      <c r="AE13" s="20"/>
      <c r="AF13" s="36"/>
      <c r="AG13" s="20"/>
      <c r="AH13" s="49" t="e">
        <f>AF13+AD13+AB13+Z13+X13+V13+T13+R13+P13+N13+L13+'input Licensee sales'!#REF!</f>
        <v>#REF!</v>
      </c>
      <c r="AI13" s="73" t="e">
        <f>AG13+AE13+AC13+AA13+Y13+W13+U13+S13+Q13+O13+M13+'input Licensee sales'!#REF!</f>
        <v>#REF!</v>
      </c>
      <c r="AJ13" s="51"/>
      <c r="AK13" s="51"/>
      <c r="AL13" s="51"/>
      <c r="AM13" s="52"/>
      <c r="AN13" s="51"/>
      <c r="AO13" s="51"/>
    </row>
    <row r="14" spans="1:41">
      <c r="A14" s="54" t="s">
        <v>28</v>
      </c>
      <c r="B14" s="58">
        <v>100</v>
      </c>
      <c r="C14" s="48" t="s">
        <v>29</v>
      </c>
      <c r="D14" s="55" t="s">
        <v>35</v>
      </c>
      <c r="E14" s="53">
        <v>2015</v>
      </c>
      <c r="L14" s="69"/>
      <c r="M14" s="25"/>
      <c r="N14" s="57"/>
      <c r="O14" s="20"/>
      <c r="P14" s="69"/>
      <c r="Q14" s="25"/>
      <c r="R14" s="57"/>
      <c r="S14" s="20"/>
      <c r="T14" s="69"/>
      <c r="U14" s="25"/>
      <c r="V14" s="57"/>
      <c r="W14" s="20"/>
      <c r="X14" s="36"/>
      <c r="Y14" s="20"/>
      <c r="Z14" s="36"/>
      <c r="AA14" s="20"/>
      <c r="AB14" s="36"/>
      <c r="AC14" s="20"/>
      <c r="AD14" s="36"/>
      <c r="AE14" s="20"/>
      <c r="AF14" s="36"/>
      <c r="AG14" s="20"/>
      <c r="AH14" s="49">
        <f>AF14+AD14+AB14+Z14+X14+V14+T14+R14+P14+N14+L14+'input Licensee sales'!E9</f>
        <v>0</v>
      </c>
      <c r="AI14" s="73">
        <f>AG14+AE14+AC14+AA14+Y14+W14+U14+S14+Q14+O14+M14+'input Licensee sales'!F9</f>
        <v>0</v>
      </c>
      <c r="AJ14" s="51"/>
      <c r="AK14" s="51"/>
      <c r="AL14" s="51"/>
      <c r="AM14" s="52"/>
      <c r="AN14" s="51"/>
      <c r="AO14" s="51"/>
    </row>
    <row r="15" spans="1:41">
      <c r="A15" s="54" t="s">
        <v>28</v>
      </c>
      <c r="B15" s="58">
        <v>100</v>
      </c>
      <c r="C15" s="48" t="s">
        <v>29</v>
      </c>
      <c r="D15" s="55" t="s">
        <v>35</v>
      </c>
      <c r="E15" s="53">
        <v>2015</v>
      </c>
      <c r="L15" s="69"/>
      <c r="M15" s="25"/>
      <c r="N15" s="57"/>
      <c r="O15" s="20"/>
      <c r="P15" s="69"/>
      <c r="Q15" s="25"/>
      <c r="R15" s="57"/>
      <c r="S15" s="20"/>
      <c r="T15" s="69"/>
      <c r="U15" s="25"/>
      <c r="V15" s="57"/>
      <c r="W15" s="20"/>
      <c r="X15" s="36"/>
      <c r="Y15" s="20"/>
      <c r="Z15" s="36"/>
      <c r="AA15" s="20"/>
      <c r="AB15" s="36"/>
      <c r="AC15" s="20"/>
      <c r="AD15" s="36"/>
      <c r="AE15" s="20"/>
      <c r="AF15" s="36"/>
      <c r="AG15" s="20"/>
      <c r="AH15" s="49" t="e">
        <f>AF15+AD15+AB15+Z15+X15+V15+T15+R15+P15+N15+L15+'input Licensee sales'!#REF!</f>
        <v>#REF!</v>
      </c>
      <c r="AI15" s="73" t="e">
        <f>AG15+AE15+AC15+AA15+Y15+W15+U15+S15+Q15+O15+M15+'input Licensee sales'!#REF!</f>
        <v>#REF!</v>
      </c>
      <c r="AJ15" s="51"/>
      <c r="AK15" s="51"/>
      <c r="AL15" s="51"/>
      <c r="AM15" s="52"/>
      <c r="AN15" s="51"/>
      <c r="AO15" s="51"/>
    </row>
    <row r="16" spans="1:41">
      <c r="A16" s="54" t="s">
        <v>28</v>
      </c>
      <c r="B16" s="58">
        <v>100</v>
      </c>
      <c r="C16" s="48" t="s">
        <v>29</v>
      </c>
      <c r="D16" s="55" t="s">
        <v>35</v>
      </c>
      <c r="E16" s="53">
        <v>2015</v>
      </c>
      <c r="L16" s="69"/>
      <c r="M16" s="25"/>
      <c r="N16" s="57"/>
      <c r="O16" s="20"/>
      <c r="P16" s="69"/>
      <c r="Q16" s="25"/>
      <c r="R16" s="57"/>
      <c r="S16" s="20"/>
      <c r="T16" s="69"/>
      <c r="U16" s="25"/>
      <c r="V16" s="57"/>
      <c r="W16" s="20"/>
      <c r="X16" s="36"/>
      <c r="Y16" s="20"/>
      <c r="Z16" s="36"/>
      <c r="AA16" s="20"/>
      <c r="AB16" s="36"/>
      <c r="AC16" s="20"/>
      <c r="AD16" s="36"/>
      <c r="AE16" s="20"/>
      <c r="AF16" s="36"/>
      <c r="AG16" s="20"/>
      <c r="AH16" s="49" t="e">
        <f>AF16+AD16+AB16+Z16+X16+V16+T16+R16+P16+N16+L16+'input Licensee sales'!#REF!</f>
        <v>#REF!</v>
      </c>
      <c r="AI16" s="73" t="e">
        <f>AG16+AE16+AC16+AA16+Y16+W16+U16+S16+Q16+O16+M16+'input Licensee sales'!#REF!</f>
        <v>#REF!</v>
      </c>
      <c r="AJ16" s="51"/>
      <c r="AK16" s="51"/>
      <c r="AL16" s="51"/>
      <c r="AM16" s="52"/>
      <c r="AN16" s="51"/>
      <c r="AO16" s="51"/>
    </row>
    <row r="17" spans="1:41">
      <c r="A17" s="54" t="s">
        <v>28</v>
      </c>
      <c r="B17" s="58">
        <v>100</v>
      </c>
      <c r="C17" s="48" t="s">
        <v>29</v>
      </c>
      <c r="D17" s="55" t="s">
        <v>35</v>
      </c>
      <c r="E17" s="53">
        <v>2015</v>
      </c>
      <c r="L17" s="69"/>
      <c r="M17" s="25"/>
      <c r="N17" s="57"/>
      <c r="O17" s="20"/>
      <c r="P17" s="69"/>
      <c r="Q17" s="25"/>
      <c r="R17" s="57"/>
      <c r="S17" s="20"/>
      <c r="T17" s="69"/>
      <c r="U17" s="25"/>
      <c r="V17" s="57"/>
      <c r="W17" s="20"/>
      <c r="X17" s="36"/>
      <c r="Y17" s="20"/>
      <c r="Z17" s="36"/>
      <c r="AA17" s="20"/>
      <c r="AB17" s="36"/>
      <c r="AC17" s="20"/>
      <c r="AD17" s="36"/>
      <c r="AE17" s="20"/>
      <c r="AF17" s="36"/>
      <c r="AG17" s="20"/>
      <c r="AH17" s="49" t="e">
        <f>AF17+AD17+AB17+Z17+X17+V17+T17+R17+P17+N17+L17+'input Licensee sales'!#REF!</f>
        <v>#REF!</v>
      </c>
      <c r="AI17" s="73" t="e">
        <f>AG17+AE17+AC17+AA17+Y17+W17+U17+S17+Q17+O17+M17+'input Licensee sales'!#REF!</f>
        <v>#REF!</v>
      </c>
      <c r="AJ17" s="51"/>
      <c r="AK17" s="51"/>
      <c r="AL17" s="51"/>
      <c r="AM17" s="52"/>
      <c r="AN17" s="51"/>
      <c r="AO17" s="51"/>
    </row>
    <row r="18" spans="1:41">
      <c r="A18" s="54" t="s">
        <v>28</v>
      </c>
      <c r="B18" s="58">
        <v>100</v>
      </c>
      <c r="C18" s="48" t="s">
        <v>29</v>
      </c>
      <c r="D18" s="55" t="s">
        <v>35</v>
      </c>
      <c r="E18" s="53">
        <v>2015</v>
      </c>
      <c r="L18" s="69"/>
      <c r="M18" s="25"/>
      <c r="N18" s="57"/>
      <c r="O18" s="20"/>
      <c r="P18" s="69"/>
      <c r="Q18" s="25"/>
      <c r="R18" s="57"/>
      <c r="S18" s="20"/>
      <c r="T18" s="69"/>
      <c r="U18" s="25"/>
      <c r="V18" s="57"/>
      <c r="W18" s="20"/>
      <c r="X18" s="36"/>
      <c r="Y18" s="20"/>
      <c r="Z18" s="36"/>
      <c r="AA18" s="20"/>
      <c r="AB18" s="36"/>
      <c r="AC18" s="20"/>
      <c r="AD18" s="36"/>
      <c r="AE18" s="20"/>
      <c r="AF18" s="36"/>
      <c r="AG18" s="20"/>
      <c r="AH18" s="49" t="e">
        <f>AF18+AD18+AB18+Z18+X18+V18+T18+R18+P18+N18+L18+'input Licensee sales'!#REF!</f>
        <v>#REF!</v>
      </c>
      <c r="AI18" s="73" t="e">
        <f>AG18+AE18+AC18+AA18+Y18+W18+U18+S18+Q18+O18+M18+'input Licensee sales'!#REF!</f>
        <v>#REF!</v>
      </c>
      <c r="AJ18" s="51"/>
      <c r="AK18" s="51"/>
      <c r="AL18" s="51"/>
      <c r="AM18" s="52"/>
      <c r="AN18" s="51"/>
      <c r="AO18" s="51"/>
    </row>
    <row r="19" spans="1:41">
      <c r="A19" s="54" t="s">
        <v>28</v>
      </c>
      <c r="B19" s="58">
        <v>100</v>
      </c>
      <c r="C19" s="48" t="s">
        <v>29</v>
      </c>
      <c r="D19" s="55" t="s">
        <v>35</v>
      </c>
      <c r="E19" s="53">
        <v>2015</v>
      </c>
      <c r="L19" s="69"/>
      <c r="M19" s="25"/>
      <c r="N19" s="57"/>
      <c r="O19" s="20"/>
      <c r="P19" s="69"/>
      <c r="Q19" s="25"/>
      <c r="R19" s="57"/>
      <c r="S19" s="20"/>
      <c r="T19" s="69"/>
      <c r="U19" s="25"/>
      <c r="V19" s="57"/>
      <c r="W19" s="20"/>
      <c r="X19" s="36"/>
      <c r="Y19" s="20"/>
      <c r="Z19" s="36"/>
      <c r="AA19" s="20"/>
      <c r="AB19" s="36"/>
      <c r="AC19" s="20"/>
      <c r="AD19" s="36"/>
      <c r="AE19" s="20"/>
      <c r="AF19" s="36"/>
      <c r="AG19" s="20"/>
      <c r="AH19" s="49" t="e">
        <f>AF19+AD19+AB19+Z19+X19+V19+T19+R19+P19+N19+L19+'input Licensee sales'!#REF!</f>
        <v>#REF!</v>
      </c>
      <c r="AI19" s="73" t="e">
        <f>AG19+AE19+AC19+AA19+Y19+W19+U19+S19+Q19+O19+M19+'input Licensee sales'!#REF!</f>
        <v>#REF!</v>
      </c>
      <c r="AJ19" s="51"/>
      <c r="AK19" s="51"/>
      <c r="AL19" s="51"/>
      <c r="AM19" s="52"/>
      <c r="AN19" s="51"/>
      <c r="AO19" s="51"/>
    </row>
    <row r="20" spans="1:41">
      <c r="A20" s="54" t="s">
        <v>28</v>
      </c>
      <c r="B20" s="58">
        <v>100</v>
      </c>
      <c r="C20" s="48" t="s">
        <v>29</v>
      </c>
      <c r="D20" s="55" t="s">
        <v>35</v>
      </c>
      <c r="E20" s="53">
        <v>2015</v>
      </c>
      <c r="L20" s="69"/>
      <c r="M20" s="25"/>
      <c r="N20" s="57"/>
      <c r="O20" s="20"/>
      <c r="P20" s="69"/>
      <c r="Q20" s="25"/>
      <c r="R20" s="57"/>
      <c r="S20" s="20"/>
      <c r="T20" s="69"/>
      <c r="U20" s="25"/>
      <c r="V20" s="57"/>
      <c r="W20" s="20"/>
      <c r="X20" s="36"/>
      <c r="Y20" s="20"/>
      <c r="Z20" s="36"/>
      <c r="AA20" s="20"/>
      <c r="AB20" s="36"/>
      <c r="AC20" s="20"/>
      <c r="AD20" s="36"/>
      <c r="AE20" s="20"/>
      <c r="AF20" s="36"/>
      <c r="AG20" s="20"/>
      <c r="AH20" s="49">
        <f>AF20+AD20+AB20+Z20+X20+V20+T20+R20+P20+N20+L20+'input Licensee sales'!E10</f>
        <v>0</v>
      </c>
      <c r="AI20" s="73">
        <f>AG20+AE20+AC20+AA20+Y20+W20+U20+S20+Q20+O20+M20+'input Licensee sales'!F10</f>
        <v>0</v>
      </c>
      <c r="AJ20" s="51"/>
      <c r="AK20" s="51"/>
      <c r="AL20" s="51"/>
      <c r="AM20" s="52"/>
      <c r="AN20" s="51"/>
      <c r="AO20" s="51"/>
    </row>
    <row r="21" spans="1:41">
      <c r="A21" s="54" t="s">
        <v>28</v>
      </c>
      <c r="B21" s="58">
        <v>100</v>
      </c>
      <c r="C21" s="48" t="s">
        <v>29</v>
      </c>
      <c r="D21" s="55" t="s">
        <v>35</v>
      </c>
      <c r="E21" s="53">
        <v>2015</v>
      </c>
      <c r="L21" s="69"/>
      <c r="M21" s="25"/>
      <c r="N21" s="57"/>
      <c r="O21" s="20"/>
      <c r="P21" s="69"/>
      <c r="Q21" s="25"/>
      <c r="R21" s="57"/>
      <c r="S21" s="20"/>
      <c r="T21" s="69"/>
      <c r="U21" s="25"/>
      <c r="V21" s="57"/>
      <c r="W21" s="20"/>
      <c r="X21" s="36"/>
      <c r="Y21" s="20"/>
      <c r="Z21" s="36"/>
      <c r="AA21" s="20"/>
      <c r="AB21" s="36"/>
      <c r="AC21" s="20"/>
      <c r="AD21" s="36"/>
      <c r="AE21" s="20"/>
      <c r="AF21" s="36"/>
      <c r="AG21" s="20"/>
      <c r="AH21" s="49">
        <f>AF21+AD21+AB21+Z21+X21+V21+T21+R21+P21+N21+L21+'input Licensee sales'!E11</f>
        <v>0</v>
      </c>
      <c r="AI21" s="73">
        <f>AG21+AE21+AC21+AA21+Y21+W21+U21+S21+Q21+O21+M21+'input Licensee sales'!F11</f>
        <v>0</v>
      </c>
      <c r="AJ21" s="51"/>
      <c r="AK21" s="51"/>
      <c r="AL21" s="51"/>
      <c r="AM21" s="52"/>
      <c r="AN21" s="51"/>
      <c r="AO21" s="51"/>
    </row>
    <row r="22" spans="1:41">
      <c r="A22" s="54" t="s">
        <v>28</v>
      </c>
      <c r="B22" s="58">
        <v>100</v>
      </c>
      <c r="C22" s="48" t="s">
        <v>29</v>
      </c>
      <c r="D22" s="55" t="s">
        <v>35</v>
      </c>
      <c r="E22" s="53">
        <v>2015</v>
      </c>
      <c r="L22" s="69"/>
      <c r="M22" s="25"/>
      <c r="N22" s="57"/>
      <c r="O22" s="20"/>
      <c r="P22" s="69"/>
      <c r="Q22" s="25"/>
      <c r="R22" s="57"/>
      <c r="S22" s="20"/>
      <c r="T22" s="69"/>
      <c r="U22" s="25"/>
      <c r="V22" s="57"/>
      <c r="W22" s="20"/>
      <c r="X22" s="36"/>
      <c r="Y22" s="20"/>
      <c r="Z22" s="36"/>
      <c r="AA22" s="20"/>
      <c r="AB22" s="36"/>
      <c r="AC22" s="20"/>
      <c r="AD22" s="36"/>
      <c r="AE22" s="20"/>
      <c r="AF22" s="36"/>
      <c r="AG22" s="20"/>
      <c r="AH22" s="49">
        <f>AF22+AD22+AB22+Z22+X22+V22+T22+R22+P22+N22+L22+'input Licensee sales'!E13</f>
        <v>0</v>
      </c>
      <c r="AI22" s="73">
        <f>AG22+AE22+AC22+AA22+Y22+W22+U22+S22+Q22+O22+M22+'input Licensee sales'!F13</f>
        <v>0</v>
      </c>
      <c r="AJ22" s="51"/>
      <c r="AK22" s="51"/>
      <c r="AL22" s="51"/>
      <c r="AM22" s="52"/>
      <c r="AN22" s="51"/>
      <c r="AO22" s="51"/>
    </row>
    <row r="23" spans="1:41">
      <c r="A23" s="54" t="s">
        <v>28</v>
      </c>
      <c r="B23" s="58">
        <v>100</v>
      </c>
      <c r="C23" s="48" t="s">
        <v>29</v>
      </c>
      <c r="D23" s="55" t="s">
        <v>35</v>
      </c>
      <c r="E23" s="53">
        <v>2015</v>
      </c>
      <c r="L23" s="69"/>
      <c r="M23" s="25"/>
      <c r="N23" s="57"/>
      <c r="O23" s="20"/>
      <c r="P23" s="69"/>
      <c r="Q23" s="25"/>
      <c r="R23" s="57"/>
      <c r="S23" s="20"/>
      <c r="T23" s="69"/>
      <c r="U23" s="25"/>
      <c r="V23" s="57"/>
      <c r="W23" s="20"/>
      <c r="X23" s="36"/>
      <c r="Y23" s="20"/>
      <c r="Z23" s="36"/>
      <c r="AA23" s="20"/>
      <c r="AB23" s="36"/>
      <c r="AC23" s="20"/>
      <c r="AD23" s="36"/>
      <c r="AE23" s="20"/>
      <c r="AF23" s="36"/>
      <c r="AG23" s="20"/>
      <c r="AH23" s="49">
        <f>AF23+AD23+AB23+Z23+X23+V23+T23+R23+P23+N23+L23+'input Licensee sales'!E15</f>
        <v>126.666</v>
      </c>
      <c r="AI23" s="73">
        <f>AG23+AE23+AC23+AA23+Y23+W23+U23+S23+Q23+O23+M23+'input Licensee sales'!F15</f>
        <v>2620274.29</v>
      </c>
      <c r="AJ23" s="51"/>
      <c r="AK23" s="51"/>
      <c r="AL23" s="51"/>
      <c r="AM23" s="52"/>
      <c r="AN23" s="51"/>
      <c r="AO23" s="51"/>
    </row>
    <row r="24" spans="1:41">
      <c r="A24" s="54" t="s">
        <v>28</v>
      </c>
      <c r="B24" s="58">
        <v>100</v>
      </c>
      <c r="C24" s="48" t="s">
        <v>29</v>
      </c>
      <c r="D24" s="55" t="s">
        <v>35</v>
      </c>
      <c r="E24" s="53">
        <v>2015</v>
      </c>
      <c r="L24" s="69"/>
      <c r="M24" s="25"/>
      <c r="N24" s="57"/>
      <c r="O24" s="20"/>
      <c r="P24" s="69"/>
      <c r="Q24" s="25"/>
      <c r="R24" s="57"/>
      <c r="S24" s="20"/>
      <c r="T24" s="69"/>
      <c r="U24" s="25"/>
      <c r="V24" s="57"/>
      <c r="W24" s="20"/>
      <c r="X24" s="36"/>
      <c r="Y24" s="20"/>
      <c r="Z24" s="36"/>
      <c r="AA24" s="20"/>
      <c r="AB24" s="36"/>
      <c r="AC24" s="20"/>
      <c r="AD24" s="36"/>
      <c r="AE24" s="20"/>
      <c r="AF24" s="36"/>
      <c r="AG24" s="20"/>
      <c r="AH24" s="49">
        <f>AF24+AD24+AB24+Z24+X24+V24+T24+R24+P24+N24+L24+'input Licensee sales'!E16</f>
        <v>0</v>
      </c>
      <c r="AI24" s="73">
        <f>AG24+AE24+AC24+AA24+Y24+W24+U24+S24+Q24+O24+M24+'input Licensee sales'!F16</f>
        <v>0</v>
      </c>
      <c r="AJ24" s="51"/>
      <c r="AK24" s="51"/>
      <c r="AL24" s="51"/>
      <c r="AM24" s="52"/>
      <c r="AN24" s="51"/>
      <c r="AO24" s="51"/>
    </row>
    <row r="25" spans="1:41">
      <c r="A25" s="54" t="s">
        <v>28</v>
      </c>
      <c r="B25" s="58">
        <v>100</v>
      </c>
      <c r="C25" s="48" t="s">
        <v>29</v>
      </c>
      <c r="D25" s="55" t="s">
        <v>35</v>
      </c>
      <c r="E25" s="53">
        <v>2015</v>
      </c>
      <c r="L25" s="69"/>
      <c r="M25" s="25"/>
      <c r="N25" s="57"/>
      <c r="O25" s="20"/>
      <c r="P25" s="69"/>
      <c r="Q25" s="25"/>
      <c r="R25" s="57"/>
      <c r="S25" s="20"/>
      <c r="T25" s="69"/>
      <c r="U25" s="25"/>
      <c r="V25" s="57"/>
      <c r="W25" s="20"/>
      <c r="X25" s="36"/>
      <c r="Y25" s="20"/>
      <c r="Z25" s="36"/>
      <c r="AA25" s="20"/>
      <c r="AB25" s="36"/>
      <c r="AC25" s="20"/>
      <c r="AD25" s="36"/>
      <c r="AE25" s="20"/>
      <c r="AF25" s="36"/>
      <c r="AG25" s="20"/>
      <c r="AH25" s="49">
        <f>AF25+AD25+AB25+Z25+X25+V25+T25+R25+P25+N25+L25+'input Licensee sales'!E17</f>
        <v>0</v>
      </c>
      <c r="AI25" s="73">
        <f>AG25+AE25+AC25+AA25+Y25+W25+U25+S25+Q25+O25+M25+'input Licensee sales'!F17</f>
        <v>0</v>
      </c>
      <c r="AJ25" s="51"/>
      <c r="AK25" s="51"/>
      <c r="AL25" s="51"/>
      <c r="AM25" s="52"/>
      <c r="AN25" s="51"/>
      <c r="AO25" s="51"/>
    </row>
    <row r="26" spans="1:41">
      <c r="A26" s="54" t="s">
        <v>28</v>
      </c>
      <c r="B26" s="58">
        <v>100</v>
      </c>
      <c r="C26" s="48" t="s">
        <v>29</v>
      </c>
      <c r="D26" s="55" t="s">
        <v>35</v>
      </c>
      <c r="E26" s="53">
        <v>2015</v>
      </c>
      <c r="L26" s="69"/>
      <c r="M26" s="25"/>
      <c r="N26" s="57"/>
      <c r="O26" s="20"/>
      <c r="P26" s="69"/>
      <c r="Q26" s="25"/>
      <c r="R26" s="57"/>
      <c r="S26" s="20"/>
      <c r="T26" s="69"/>
      <c r="U26" s="25"/>
      <c r="V26" s="57"/>
      <c r="W26" s="20"/>
      <c r="X26" s="36"/>
      <c r="Y26" s="20"/>
      <c r="Z26" s="36"/>
      <c r="AA26" s="20"/>
      <c r="AB26" s="36"/>
      <c r="AC26" s="20"/>
      <c r="AD26" s="36"/>
      <c r="AE26" s="20"/>
      <c r="AF26" s="36"/>
      <c r="AG26" s="20"/>
      <c r="AH26" s="49">
        <f>AF26+AD26+AB26+Z26+X26+V26+T26+R26+P26+N26+L26+'input Licensee sales'!E18</f>
        <v>0</v>
      </c>
      <c r="AI26" s="73">
        <f>AG26+AE26+AC26+AA26+Y26+W26+U26+S26+Q26+O26+M26+'input Licensee sales'!F18</f>
        <v>0</v>
      </c>
      <c r="AJ26" s="51"/>
      <c r="AK26" s="51"/>
      <c r="AL26" s="51"/>
      <c r="AM26" s="52"/>
      <c r="AN26" s="51"/>
      <c r="AO26" s="51"/>
    </row>
    <row r="27" spans="1:41">
      <c r="A27" s="54" t="s">
        <v>28</v>
      </c>
      <c r="B27" s="58">
        <v>100</v>
      </c>
      <c r="C27" s="48" t="s">
        <v>29</v>
      </c>
      <c r="D27" s="55" t="s">
        <v>35</v>
      </c>
      <c r="E27" s="53">
        <v>2015</v>
      </c>
      <c r="L27" s="69"/>
      <c r="M27" s="25"/>
      <c r="N27" s="57"/>
      <c r="O27" s="20"/>
      <c r="P27" s="69"/>
      <c r="Q27" s="25"/>
      <c r="R27" s="57"/>
      <c r="S27" s="20"/>
      <c r="T27" s="69"/>
      <c r="U27" s="25"/>
      <c r="V27" s="57"/>
      <c r="W27" s="20"/>
      <c r="X27" s="36"/>
      <c r="Y27" s="20"/>
      <c r="Z27" s="36"/>
      <c r="AA27" s="20"/>
      <c r="AB27" s="36"/>
      <c r="AC27" s="20"/>
      <c r="AD27" s="36"/>
      <c r="AE27" s="20"/>
      <c r="AF27" s="36"/>
      <c r="AG27" s="20"/>
      <c r="AH27" s="49">
        <f>AF27+AD27+AB27+Z27+X27+V27+T27+R27+P27+N27+L27+'input Licensee sales'!E19</f>
        <v>0</v>
      </c>
      <c r="AI27" s="73">
        <f>AG27+AE27+AC27+AA27+Y27+W27+U27+S27+Q27+O27+M27+'input Licensee sales'!F19</f>
        <v>0</v>
      </c>
      <c r="AJ27" s="51"/>
      <c r="AK27" s="51"/>
      <c r="AL27" s="51"/>
      <c r="AM27" s="52"/>
      <c r="AN27" s="51"/>
      <c r="AO27" s="51"/>
    </row>
    <row r="28" spans="1:41">
      <c r="A28" s="54" t="s">
        <v>28</v>
      </c>
      <c r="B28" s="58">
        <v>100</v>
      </c>
      <c r="C28" s="48" t="s">
        <v>29</v>
      </c>
      <c r="D28" s="55" t="s">
        <v>35</v>
      </c>
      <c r="E28" s="53">
        <v>2015</v>
      </c>
      <c r="L28" s="69"/>
      <c r="M28" s="25"/>
      <c r="N28" s="57"/>
      <c r="O28" s="20"/>
      <c r="P28" s="69"/>
      <c r="Q28" s="25"/>
      <c r="R28" s="57"/>
      <c r="S28" s="20"/>
      <c r="T28" s="69"/>
      <c r="U28" s="25"/>
      <c r="V28" s="57"/>
      <c r="W28" s="20"/>
      <c r="X28" s="36"/>
      <c r="Y28" s="20"/>
      <c r="Z28" s="36"/>
      <c r="AA28" s="20"/>
      <c r="AB28" s="36"/>
      <c r="AC28" s="20"/>
      <c r="AD28" s="36"/>
      <c r="AE28" s="20"/>
      <c r="AF28" s="36"/>
      <c r="AG28" s="20"/>
      <c r="AH28" s="49">
        <f>AF28+AD28+AB28+Z28+X28+V28+T28+R28+P28+N28+L28+'input Licensee sales'!E20</f>
        <v>0</v>
      </c>
      <c r="AI28" s="73">
        <f>AG28+AE28+AC28+AA28+Y28+W28+U28+S28+Q28+O28+M28+'input Licensee sales'!F20</f>
        <v>0</v>
      </c>
      <c r="AJ28" s="51"/>
      <c r="AK28" s="51"/>
      <c r="AL28" s="51"/>
      <c r="AM28" s="52"/>
      <c r="AN28" s="51"/>
      <c r="AO28" s="51"/>
    </row>
    <row r="29" spans="1:41">
      <c r="A29" s="54" t="s">
        <v>28</v>
      </c>
      <c r="B29" s="58">
        <v>100</v>
      </c>
      <c r="C29" s="48" t="s">
        <v>29</v>
      </c>
      <c r="D29" s="55" t="s">
        <v>35</v>
      </c>
      <c r="E29" s="53">
        <v>2015</v>
      </c>
      <c r="L29" s="69"/>
      <c r="M29" s="25"/>
      <c r="N29" s="57"/>
      <c r="O29" s="20"/>
      <c r="P29" s="69"/>
      <c r="Q29" s="25"/>
      <c r="R29" s="57"/>
      <c r="S29" s="20"/>
      <c r="T29" s="69"/>
      <c r="U29" s="25"/>
      <c r="V29" s="57"/>
      <c r="W29" s="20"/>
      <c r="X29" s="36"/>
      <c r="Y29" s="20"/>
      <c r="Z29" s="36"/>
      <c r="AA29" s="20"/>
      <c r="AB29" s="36"/>
      <c r="AC29" s="20"/>
      <c r="AD29" s="36"/>
      <c r="AE29" s="20"/>
      <c r="AF29" s="36"/>
      <c r="AG29" s="20"/>
      <c r="AH29" s="49" t="e">
        <f>AF29+AD29+AB29+Z29+X29+V29+T29+R29+P29+N29+L29+'input Licensee sales'!#REF!</f>
        <v>#REF!</v>
      </c>
      <c r="AI29" s="73" t="e">
        <f>AG29+AE29+AC29+AA29+Y29+W29+U29+S29+Q29+O29+M29+'input Licensee sales'!#REF!</f>
        <v>#REF!</v>
      </c>
      <c r="AJ29" s="51"/>
      <c r="AK29" s="51"/>
      <c r="AL29" s="51"/>
      <c r="AM29" s="52"/>
      <c r="AN29" s="51"/>
      <c r="AO29" s="51"/>
    </row>
    <row r="30" spans="1:41">
      <c r="A30" s="54" t="s">
        <v>28</v>
      </c>
      <c r="B30" s="58">
        <v>100</v>
      </c>
      <c r="C30" s="48" t="s">
        <v>29</v>
      </c>
      <c r="D30" s="55" t="s">
        <v>35</v>
      </c>
      <c r="E30" s="53">
        <v>2015</v>
      </c>
      <c r="L30" s="69"/>
      <c r="M30" s="25"/>
      <c r="N30" s="57"/>
      <c r="O30" s="20"/>
      <c r="P30" s="69"/>
      <c r="Q30" s="25"/>
      <c r="R30" s="57"/>
      <c r="S30" s="20"/>
      <c r="T30" s="69"/>
      <c r="U30" s="25"/>
      <c r="V30" s="57"/>
      <c r="W30" s="20"/>
      <c r="X30" s="36"/>
      <c r="Y30" s="20"/>
      <c r="Z30" s="36"/>
      <c r="AA30" s="20"/>
      <c r="AB30" s="36"/>
      <c r="AC30" s="20"/>
      <c r="AD30" s="36"/>
      <c r="AE30" s="20"/>
      <c r="AF30" s="36"/>
      <c r="AG30" s="20"/>
      <c r="AH30" s="49">
        <f>AF30+AD30+AB30+Z30+X30+V30+T30+R30+P30+N30+L30+'input Licensee sales'!E21</f>
        <v>0</v>
      </c>
      <c r="AI30" s="73">
        <f>AG30+AE30+AC30+AA30+Y30+W30+U30+S30+Q30+O30+M30+'input Licensee sales'!F21</f>
        <v>0</v>
      </c>
      <c r="AJ30" s="51"/>
      <c r="AK30" s="51"/>
      <c r="AL30" s="51"/>
      <c r="AM30" s="52"/>
      <c r="AN30" s="51"/>
      <c r="AO30" s="51"/>
    </row>
    <row r="31" spans="1:41">
      <c r="A31" s="54" t="s">
        <v>28</v>
      </c>
      <c r="B31" s="58">
        <v>100</v>
      </c>
      <c r="C31" s="48" t="s">
        <v>29</v>
      </c>
      <c r="D31" s="55" t="s">
        <v>35</v>
      </c>
      <c r="E31" s="53">
        <v>2015</v>
      </c>
      <c r="L31" s="69"/>
      <c r="M31" s="25"/>
      <c r="N31" s="57"/>
      <c r="O31" s="20"/>
      <c r="P31" s="69"/>
      <c r="Q31" s="25"/>
      <c r="R31" s="57"/>
      <c r="S31" s="20"/>
      <c r="T31" s="69"/>
      <c r="U31" s="25"/>
      <c r="V31" s="57"/>
      <c r="W31" s="20"/>
      <c r="X31" s="36"/>
      <c r="Y31" s="20"/>
      <c r="Z31" s="36"/>
      <c r="AA31" s="20"/>
      <c r="AB31" s="36"/>
      <c r="AC31" s="20"/>
      <c r="AD31" s="36"/>
      <c r="AE31" s="20"/>
      <c r="AF31" s="36"/>
      <c r="AG31" s="20"/>
      <c r="AH31" s="49" t="e">
        <f>AF31+AD31+AB31+Z31+X31+V31+T31+R31+P31+N31+L31+'input Licensee sales'!#REF!</f>
        <v>#REF!</v>
      </c>
      <c r="AI31" s="73" t="e">
        <f>AG31+AE31+AC31+AA31+Y31+W31+U31+S31+Q31+O31+M31+'input Licensee sales'!#REF!</f>
        <v>#REF!</v>
      </c>
      <c r="AJ31" s="51"/>
      <c r="AK31" s="51"/>
      <c r="AL31" s="51"/>
      <c r="AM31" s="52"/>
      <c r="AN31" s="51"/>
      <c r="AO31" s="51"/>
    </row>
    <row r="32" spans="1:41">
      <c r="A32" s="54" t="s">
        <v>28</v>
      </c>
      <c r="B32" s="58">
        <v>100</v>
      </c>
      <c r="C32" s="48" t="s">
        <v>29</v>
      </c>
      <c r="D32" s="55" t="s">
        <v>35</v>
      </c>
      <c r="E32" s="53">
        <v>2015</v>
      </c>
      <c r="L32" s="69"/>
      <c r="M32" s="25"/>
      <c r="N32" s="57"/>
      <c r="O32" s="20"/>
      <c r="P32" s="69"/>
      <c r="Q32" s="25"/>
      <c r="R32" s="57"/>
      <c r="S32" s="20"/>
      <c r="T32" s="69"/>
      <c r="U32" s="25"/>
      <c r="V32" s="57"/>
      <c r="W32" s="20"/>
      <c r="X32" s="36"/>
      <c r="Y32" s="20"/>
      <c r="Z32" s="36"/>
      <c r="AA32" s="20"/>
      <c r="AB32" s="36"/>
      <c r="AC32" s="20"/>
      <c r="AD32" s="36"/>
      <c r="AE32" s="20"/>
      <c r="AF32" s="36"/>
      <c r="AG32" s="20"/>
      <c r="AH32" s="49">
        <f>AF32+AD32+AB32+Z32+X32+V32+T32+R32+P32+N32+L32+'input Licensee sales'!E22</f>
        <v>0</v>
      </c>
      <c r="AI32" s="73">
        <f>AG32+AE32+AC32+AA32+Y32+W32+U32+S32+Q32+O32+M32+'input Licensee sales'!F22</f>
        <v>0</v>
      </c>
      <c r="AJ32" s="51"/>
      <c r="AK32" s="51"/>
      <c r="AL32" s="51"/>
      <c r="AM32" s="52"/>
      <c r="AN32" s="51"/>
      <c r="AO32" s="51"/>
    </row>
    <row r="33" spans="1:41">
      <c r="A33" s="54" t="s">
        <v>28</v>
      </c>
      <c r="B33" s="58">
        <v>100</v>
      </c>
      <c r="C33" s="48" t="s">
        <v>29</v>
      </c>
      <c r="D33" s="55" t="s">
        <v>35</v>
      </c>
      <c r="E33" s="53">
        <v>2015</v>
      </c>
      <c r="L33" s="69"/>
      <c r="M33" s="25"/>
      <c r="N33" s="57"/>
      <c r="O33" s="20"/>
      <c r="P33" s="69"/>
      <c r="Q33" s="25"/>
      <c r="R33" s="57"/>
      <c r="S33" s="20"/>
      <c r="T33" s="69"/>
      <c r="U33" s="25"/>
      <c r="V33" s="57"/>
      <c r="W33" s="20"/>
      <c r="X33" s="36"/>
      <c r="Y33" s="20"/>
      <c r="Z33" s="36"/>
      <c r="AA33" s="20"/>
      <c r="AB33" s="36"/>
      <c r="AC33" s="20"/>
      <c r="AD33" s="36"/>
      <c r="AE33" s="20"/>
      <c r="AF33" s="36"/>
      <c r="AG33" s="20"/>
      <c r="AH33" s="49">
        <f>AF33+AD33+AB33+Z33+X33+V33+T33+R33+P33+N33+L33+'input Licensee sales'!E23</f>
        <v>0</v>
      </c>
      <c r="AI33" s="73">
        <f>AG33+AE33+AC33+AA33+Y33+W33+U33+S33+Q33+O33+M33+'input Licensee sales'!F23</f>
        <v>0</v>
      </c>
      <c r="AJ33" s="51"/>
      <c r="AK33" s="51"/>
      <c r="AL33" s="51"/>
      <c r="AM33" s="52"/>
      <c r="AN33" s="51"/>
      <c r="AO33" s="51"/>
    </row>
    <row r="34" spans="1:41">
      <c r="A34" s="54" t="s">
        <v>28</v>
      </c>
      <c r="B34" s="58">
        <v>100</v>
      </c>
      <c r="C34" s="48" t="s">
        <v>29</v>
      </c>
      <c r="D34" s="55" t="s">
        <v>35</v>
      </c>
      <c r="E34" s="53">
        <v>2015</v>
      </c>
      <c r="L34" s="69"/>
      <c r="M34" s="25"/>
      <c r="N34" s="57"/>
      <c r="O34" s="20"/>
      <c r="P34" s="69"/>
      <c r="Q34" s="25"/>
      <c r="R34" s="57"/>
      <c r="S34" s="20"/>
      <c r="T34" s="69"/>
      <c r="U34" s="25"/>
      <c r="V34" s="57"/>
      <c r="W34" s="20"/>
      <c r="X34" s="36"/>
      <c r="Y34" s="20"/>
      <c r="Z34" s="36"/>
      <c r="AA34" s="20"/>
      <c r="AB34" s="36"/>
      <c r="AC34" s="20"/>
      <c r="AD34" s="36"/>
      <c r="AE34" s="20"/>
      <c r="AF34" s="36"/>
      <c r="AG34" s="20"/>
      <c r="AH34" s="49" t="e">
        <f>AF34+AD34+AB34+Z34+X34+V34+T34+R34+P34+N34+L34+'input Licensee sales'!#REF!</f>
        <v>#REF!</v>
      </c>
      <c r="AI34" s="73" t="e">
        <f>AG34+AE34+AC34+AA34+Y34+W34+U34+S34+Q34+O34+M34+'input Licensee sales'!#REF!</f>
        <v>#REF!</v>
      </c>
      <c r="AJ34" s="51"/>
      <c r="AK34" s="51"/>
      <c r="AL34" s="51"/>
      <c r="AM34" s="52"/>
      <c r="AN34" s="51"/>
      <c r="AO34" s="51"/>
    </row>
    <row r="35" spans="1:41">
      <c r="A35" s="54" t="s">
        <v>28</v>
      </c>
      <c r="B35" s="58">
        <v>100</v>
      </c>
      <c r="C35" s="48" t="s">
        <v>29</v>
      </c>
      <c r="D35" s="55" t="s">
        <v>35</v>
      </c>
      <c r="E35" s="53">
        <v>2015</v>
      </c>
      <c r="L35" s="69"/>
      <c r="M35" s="25"/>
      <c r="N35" s="57"/>
      <c r="O35" s="20"/>
      <c r="P35" s="69"/>
      <c r="Q35" s="25"/>
      <c r="R35" s="57"/>
      <c r="S35" s="20"/>
      <c r="T35" s="69"/>
      <c r="U35" s="25"/>
      <c r="V35" s="57"/>
      <c r="W35" s="20"/>
      <c r="X35" s="36"/>
      <c r="Y35" s="20"/>
      <c r="Z35" s="36"/>
      <c r="AA35" s="20"/>
      <c r="AB35" s="36"/>
      <c r="AC35" s="20"/>
      <c r="AD35" s="36"/>
      <c r="AE35" s="20"/>
      <c r="AF35" s="36"/>
      <c r="AG35" s="20"/>
      <c r="AH35" s="49">
        <f>AF35+AD35+AB35+Z35+X35+V35+T35+R35+P35+N35+L35+'input Licensee sales'!E24</f>
        <v>0</v>
      </c>
      <c r="AI35" s="73">
        <f>AG35+AE35+AC35+AA35+Y35+W35+U35+S35+Q35+O35+M35+'input Licensee sales'!F24</f>
        <v>0</v>
      </c>
      <c r="AJ35" s="51"/>
      <c r="AK35" s="51"/>
      <c r="AL35" s="51"/>
      <c r="AM35" s="52"/>
      <c r="AN35" s="51"/>
      <c r="AO35" s="51"/>
    </row>
    <row r="36" spans="1:41">
      <c r="A36" s="54" t="s">
        <v>28</v>
      </c>
      <c r="B36" s="58">
        <v>100</v>
      </c>
      <c r="C36" s="48" t="s">
        <v>29</v>
      </c>
      <c r="D36" s="55" t="s">
        <v>35</v>
      </c>
      <c r="E36" s="53">
        <v>2015</v>
      </c>
      <c r="F36" s="55"/>
      <c r="G36" s="55"/>
      <c r="H36" s="55"/>
      <c r="I36" s="56"/>
      <c r="J36" s="57"/>
      <c r="K36" s="20"/>
      <c r="L36" s="69"/>
      <c r="M36" s="25"/>
      <c r="N36" s="57"/>
      <c r="O36" s="20"/>
      <c r="P36" s="69"/>
      <c r="Q36" s="25"/>
      <c r="R36" s="57"/>
      <c r="S36" s="20"/>
      <c r="T36" s="69"/>
      <c r="U36" s="25"/>
      <c r="V36" s="57"/>
      <c r="W36" s="20"/>
      <c r="X36" s="36"/>
      <c r="Y36" s="20"/>
      <c r="Z36" s="36"/>
      <c r="AA36" s="20"/>
      <c r="AB36" s="36"/>
      <c r="AC36" s="20"/>
      <c r="AD36" s="36"/>
      <c r="AE36" s="20"/>
      <c r="AF36" s="36"/>
      <c r="AG36" s="20"/>
      <c r="AH36" s="49">
        <f t="shared" ref="AH36:AH68" si="1">AF36+AD36+AB36+Z36+X36+V36+T36+R36+P36+N36+L36+J36</f>
        <v>0</v>
      </c>
      <c r="AI36" s="73">
        <f t="shared" ref="AI36:AI68" si="2">AG36+AE36+AC36+AA36+Y36+W36+U36+S36+Q36+O36+M36+K36</f>
        <v>0</v>
      </c>
      <c r="AJ36" s="51"/>
      <c r="AK36" s="51"/>
      <c r="AL36" s="51"/>
      <c r="AM36" s="52"/>
      <c r="AN36" s="51"/>
      <c r="AO36" s="51"/>
    </row>
    <row r="37" spans="1:41">
      <c r="A37" s="54" t="s">
        <v>28</v>
      </c>
      <c r="B37" s="58">
        <v>100</v>
      </c>
      <c r="C37" s="48" t="s">
        <v>29</v>
      </c>
      <c r="D37" s="55" t="s">
        <v>35</v>
      </c>
      <c r="E37" s="53">
        <v>2015</v>
      </c>
      <c r="F37" s="55"/>
      <c r="G37" s="55"/>
      <c r="H37" s="55"/>
      <c r="I37" s="56"/>
      <c r="J37" s="57"/>
      <c r="K37" s="20"/>
      <c r="L37" s="69"/>
      <c r="M37" s="25"/>
      <c r="N37" s="57"/>
      <c r="O37" s="20"/>
      <c r="P37" s="69"/>
      <c r="Q37" s="25"/>
      <c r="R37" s="57"/>
      <c r="S37" s="20"/>
      <c r="T37" s="69"/>
      <c r="U37" s="25"/>
      <c r="V37" s="57"/>
      <c r="W37" s="20"/>
      <c r="X37" s="36"/>
      <c r="Y37" s="20"/>
      <c r="Z37" s="36"/>
      <c r="AA37" s="20"/>
      <c r="AB37" s="36"/>
      <c r="AC37" s="20"/>
      <c r="AD37" s="36"/>
      <c r="AE37" s="20"/>
      <c r="AF37" s="36"/>
      <c r="AG37" s="20"/>
      <c r="AH37" s="49">
        <f t="shared" si="1"/>
        <v>0</v>
      </c>
      <c r="AI37" s="73">
        <f t="shared" si="2"/>
        <v>0</v>
      </c>
      <c r="AJ37" s="51"/>
      <c r="AK37" s="51"/>
      <c r="AL37" s="51"/>
      <c r="AM37" s="52"/>
      <c r="AN37" s="51"/>
      <c r="AO37" s="51"/>
    </row>
    <row r="38" spans="1:41">
      <c r="A38" s="54" t="s">
        <v>28</v>
      </c>
      <c r="B38" s="58">
        <v>100</v>
      </c>
      <c r="C38" s="48" t="s">
        <v>29</v>
      </c>
      <c r="D38" s="55" t="s">
        <v>35</v>
      </c>
      <c r="E38" s="53">
        <v>2015</v>
      </c>
      <c r="F38" s="55"/>
      <c r="G38" s="55"/>
      <c r="H38" s="55"/>
      <c r="I38" s="56"/>
      <c r="J38" s="57"/>
      <c r="K38" s="20"/>
      <c r="L38" s="69"/>
      <c r="M38" s="25"/>
      <c r="N38" s="57"/>
      <c r="O38" s="20"/>
      <c r="P38" s="69"/>
      <c r="Q38" s="25"/>
      <c r="R38" s="57"/>
      <c r="S38" s="20"/>
      <c r="T38" s="69"/>
      <c r="U38" s="25"/>
      <c r="V38" s="57"/>
      <c r="W38" s="20"/>
      <c r="X38" s="36"/>
      <c r="Y38" s="20"/>
      <c r="Z38" s="36"/>
      <c r="AA38" s="20"/>
      <c r="AB38" s="36"/>
      <c r="AC38" s="20"/>
      <c r="AD38" s="36"/>
      <c r="AE38" s="20"/>
      <c r="AF38" s="36"/>
      <c r="AG38" s="20"/>
      <c r="AH38" s="49">
        <f t="shared" si="1"/>
        <v>0</v>
      </c>
      <c r="AI38" s="73">
        <f t="shared" si="2"/>
        <v>0</v>
      </c>
      <c r="AJ38" s="51"/>
      <c r="AK38" s="51"/>
      <c r="AL38" s="51"/>
      <c r="AM38" s="52"/>
      <c r="AN38" s="51"/>
      <c r="AO38" s="51"/>
    </row>
    <row r="39" spans="1:41">
      <c r="A39" s="54" t="s">
        <v>28</v>
      </c>
      <c r="B39" s="58">
        <v>100</v>
      </c>
      <c r="C39" s="48" t="s">
        <v>29</v>
      </c>
      <c r="D39" s="55" t="s">
        <v>35</v>
      </c>
      <c r="E39" s="53">
        <v>2015</v>
      </c>
      <c r="F39" s="55"/>
      <c r="G39" s="55"/>
      <c r="H39" s="55"/>
      <c r="I39" s="56"/>
      <c r="J39" s="57"/>
      <c r="K39" s="20"/>
      <c r="L39" s="69"/>
      <c r="M39" s="25"/>
      <c r="N39" s="57"/>
      <c r="O39" s="20"/>
      <c r="P39" s="69"/>
      <c r="Q39" s="25"/>
      <c r="R39" s="57"/>
      <c r="S39" s="20"/>
      <c r="T39" s="69"/>
      <c r="U39" s="25"/>
      <c r="V39" s="57"/>
      <c r="W39" s="20"/>
      <c r="X39" s="36"/>
      <c r="Y39" s="20"/>
      <c r="Z39" s="36"/>
      <c r="AA39" s="20"/>
      <c r="AB39" s="36"/>
      <c r="AC39" s="20"/>
      <c r="AD39" s="36"/>
      <c r="AE39" s="20"/>
      <c r="AF39" s="36"/>
      <c r="AG39" s="20"/>
      <c r="AH39" s="49">
        <f t="shared" si="1"/>
        <v>0</v>
      </c>
      <c r="AI39" s="73">
        <f t="shared" si="2"/>
        <v>0</v>
      </c>
      <c r="AJ39" s="51"/>
      <c r="AK39" s="51"/>
      <c r="AL39" s="51"/>
      <c r="AM39" s="52"/>
      <c r="AN39" s="51"/>
      <c r="AO39" s="51"/>
    </row>
    <row r="40" spans="1:41">
      <c r="A40" s="54" t="s">
        <v>28</v>
      </c>
      <c r="B40" s="58">
        <v>100</v>
      </c>
      <c r="C40" s="48" t="s">
        <v>29</v>
      </c>
      <c r="D40" s="55" t="s">
        <v>35</v>
      </c>
      <c r="E40" s="53">
        <v>2015</v>
      </c>
      <c r="F40" s="55"/>
      <c r="G40" s="55"/>
      <c r="H40" s="55"/>
      <c r="I40" s="56"/>
      <c r="J40" s="57"/>
      <c r="K40" s="20"/>
      <c r="L40" s="69"/>
      <c r="M40" s="25"/>
      <c r="N40" s="57"/>
      <c r="O40" s="20"/>
      <c r="P40" s="69"/>
      <c r="Q40" s="25"/>
      <c r="R40" s="57"/>
      <c r="S40" s="20"/>
      <c r="T40" s="69"/>
      <c r="U40" s="25"/>
      <c r="V40" s="57"/>
      <c r="W40" s="20"/>
      <c r="X40" s="36"/>
      <c r="Y40" s="20"/>
      <c r="Z40" s="36"/>
      <c r="AA40" s="20"/>
      <c r="AB40" s="36"/>
      <c r="AC40" s="20"/>
      <c r="AD40" s="36"/>
      <c r="AE40" s="20"/>
      <c r="AF40" s="36"/>
      <c r="AG40" s="20"/>
      <c r="AH40" s="49">
        <f t="shared" si="1"/>
        <v>0</v>
      </c>
      <c r="AI40" s="73">
        <f t="shared" si="2"/>
        <v>0</v>
      </c>
      <c r="AJ40" s="51"/>
      <c r="AK40" s="51"/>
      <c r="AL40" s="51"/>
      <c r="AM40" s="52"/>
      <c r="AN40" s="51"/>
      <c r="AO40" s="51"/>
    </row>
    <row r="41" spans="1:41">
      <c r="A41" s="54" t="s">
        <v>28</v>
      </c>
      <c r="B41" s="58">
        <v>100</v>
      </c>
      <c r="C41" s="48" t="s">
        <v>29</v>
      </c>
      <c r="D41" s="55" t="s">
        <v>35</v>
      </c>
      <c r="E41" s="53">
        <v>2015</v>
      </c>
      <c r="F41" s="55"/>
      <c r="G41" s="55"/>
      <c r="H41" s="55"/>
      <c r="I41" s="56"/>
      <c r="J41" s="57"/>
      <c r="K41" s="20"/>
      <c r="L41" s="69"/>
      <c r="M41" s="25"/>
      <c r="N41" s="57"/>
      <c r="O41" s="20"/>
      <c r="P41" s="69"/>
      <c r="Q41" s="25"/>
      <c r="R41" s="57"/>
      <c r="S41" s="20"/>
      <c r="T41" s="69"/>
      <c r="U41" s="25"/>
      <c r="V41" s="57"/>
      <c r="W41" s="20"/>
      <c r="X41" s="36"/>
      <c r="Y41" s="20"/>
      <c r="Z41" s="36"/>
      <c r="AA41" s="20"/>
      <c r="AB41" s="36"/>
      <c r="AC41" s="20"/>
      <c r="AD41" s="36"/>
      <c r="AE41" s="20"/>
      <c r="AF41" s="36"/>
      <c r="AG41" s="20"/>
      <c r="AH41" s="49">
        <f t="shared" si="1"/>
        <v>0</v>
      </c>
      <c r="AI41" s="73">
        <f t="shared" si="2"/>
        <v>0</v>
      </c>
      <c r="AJ41" s="51"/>
      <c r="AK41" s="51"/>
      <c r="AL41" s="51"/>
      <c r="AM41" s="52"/>
      <c r="AN41" s="51"/>
      <c r="AO41" s="51"/>
    </row>
    <row r="42" spans="1:41">
      <c r="A42" s="54" t="s">
        <v>28</v>
      </c>
      <c r="B42" s="58">
        <v>100</v>
      </c>
      <c r="C42" s="48" t="s">
        <v>29</v>
      </c>
      <c r="D42" s="55" t="s">
        <v>35</v>
      </c>
      <c r="E42" s="53">
        <v>2015</v>
      </c>
      <c r="F42" s="55"/>
      <c r="G42" s="55"/>
      <c r="H42" s="55"/>
      <c r="I42" s="56"/>
      <c r="J42" s="57"/>
      <c r="K42" s="20"/>
      <c r="L42" s="69"/>
      <c r="M42" s="25"/>
      <c r="N42" s="57"/>
      <c r="O42" s="20"/>
      <c r="P42" s="69"/>
      <c r="Q42" s="25"/>
      <c r="R42" s="57"/>
      <c r="S42" s="20"/>
      <c r="T42" s="69"/>
      <c r="U42" s="25"/>
      <c r="V42" s="57"/>
      <c r="W42" s="20"/>
      <c r="X42" s="36"/>
      <c r="Y42" s="20"/>
      <c r="Z42" s="36"/>
      <c r="AA42" s="20"/>
      <c r="AB42" s="36"/>
      <c r="AC42" s="20"/>
      <c r="AD42" s="36"/>
      <c r="AE42" s="20"/>
      <c r="AF42" s="36"/>
      <c r="AG42" s="20"/>
      <c r="AH42" s="49">
        <f t="shared" si="1"/>
        <v>0</v>
      </c>
      <c r="AI42" s="73">
        <f t="shared" si="2"/>
        <v>0</v>
      </c>
      <c r="AJ42" s="51"/>
      <c r="AK42" s="51"/>
      <c r="AL42" s="51"/>
      <c r="AM42" s="52"/>
      <c r="AN42" s="51"/>
      <c r="AO42" s="51"/>
    </row>
    <row r="43" spans="1:41">
      <c r="A43" s="54" t="s">
        <v>28</v>
      </c>
      <c r="B43" s="58">
        <v>100</v>
      </c>
      <c r="C43" s="48" t="s">
        <v>29</v>
      </c>
      <c r="D43" s="55" t="s">
        <v>35</v>
      </c>
      <c r="E43" s="53">
        <v>2015</v>
      </c>
      <c r="F43" s="55"/>
      <c r="G43" s="55"/>
      <c r="H43" s="55"/>
      <c r="I43" s="56"/>
      <c r="J43" s="57"/>
      <c r="K43" s="20"/>
      <c r="L43" s="69"/>
      <c r="M43" s="25"/>
      <c r="N43" s="57"/>
      <c r="O43" s="20"/>
      <c r="P43" s="69"/>
      <c r="Q43" s="25"/>
      <c r="R43" s="57"/>
      <c r="S43" s="20"/>
      <c r="T43" s="69"/>
      <c r="U43" s="25"/>
      <c r="V43" s="57"/>
      <c r="W43" s="20"/>
      <c r="X43" s="36"/>
      <c r="Y43" s="20"/>
      <c r="Z43" s="36"/>
      <c r="AA43" s="20"/>
      <c r="AB43" s="36"/>
      <c r="AC43" s="20"/>
      <c r="AD43" s="36"/>
      <c r="AE43" s="20"/>
      <c r="AF43" s="36"/>
      <c r="AG43" s="20"/>
      <c r="AH43" s="49">
        <f t="shared" si="1"/>
        <v>0</v>
      </c>
      <c r="AI43" s="73">
        <f t="shared" si="2"/>
        <v>0</v>
      </c>
      <c r="AJ43" s="51"/>
      <c r="AK43" s="51"/>
      <c r="AL43" s="51"/>
      <c r="AM43" s="52"/>
      <c r="AN43" s="51"/>
      <c r="AO43" s="51"/>
    </row>
    <row r="44" spans="1:41">
      <c r="A44" s="54" t="s">
        <v>28</v>
      </c>
      <c r="B44" s="58">
        <v>100</v>
      </c>
      <c r="C44" s="48" t="s">
        <v>29</v>
      </c>
      <c r="D44" s="55" t="s">
        <v>35</v>
      </c>
      <c r="E44" s="53">
        <v>2015</v>
      </c>
      <c r="F44" s="55"/>
      <c r="G44" s="55"/>
      <c r="H44" s="55"/>
      <c r="I44" s="56"/>
      <c r="J44" s="57"/>
      <c r="K44" s="20"/>
      <c r="L44" s="69"/>
      <c r="M44" s="25"/>
      <c r="N44" s="57"/>
      <c r="O44" s="20"/>
      <c r="P44" s="69"/>
      <c r="Q44" s="25"/>
      <c r="R44" s="57"/>
      <c r="S44" s="20"/>
      <c r="T44" s="69"/>
      <c r="U44" s="25"/>
      <c r="V44" s="57"/>
      <c r="W44" s="20"/>
      <c r="X44" s="36"/>
      <c r="Y44" s="20"/>
      <c r="Z44" s="36"/>
      <c r="AA44" s="20"/>
      <c r="AB44" s="36"/>
      <c r="AC44" s="20"/>
      <c r="AD44" s="36"/>
      <c r="AE44" s="20"/>
      <c r="AF44" s="36"/>
      <c r="AG44" s="20"/>
      <c r="AH44" s="49">
        <f t="shared" si="1"/>
        <v>0</v>
      </c>
      <c r="AI44" s="73">
        <f t="shared" si="2"/>
        <v>0</v>
      </c>
      <c r="AJ44" s="51"/>
      <c r="AK44" s="51"/>
      <c r="AL44" s="51"/>
      <c r="AM44" s="52"/>
      <c r="AN44" s="51"/>
      <c r="AO44" s="51"/>
    </row>
    <row r="45" spans="1:41">
      <c r="A45" s="54" t="s">
        <v>28</v>
      </c>
      <c r="B45" s="58">
        <v>100</v>
      </c>
      <c r="C45" s="48" t="s">
        <v>29</v>
      </c>
      <c r="D45" s="55" t="s">
        <v>35</v>
      </c>
      <c r="E45" s="53">
        <v>2015</v>
      </c>
      <c r="F45" s="55"/>
      <c r="G45" s="55"/>
      <c r="H45" s="55"/>
      <c r="I45" s="56"/>
      <c r="J45" s="57"/>
      <c r="K45" s="20"/>
      <c r="L45" s="69"/>
      <c r="M45" s="25"/>
      <c r="N45" s="57"/>
      <c r="O45" s="20"/>
      <c r="P45" s="69"/>
      <c r="Q45" s="25"/>
      <c r="R45" s="57"/>
      <c r="S45" s="20"/>
      <c r="T45" s="69"/>
      <c r="U45" s="25"/>
      <c r="V45" s="57"/>
      <c r="W45" s="20"/>
      <c r="X45" s="36"/>
      <c r="Y45" s="20"/>
      <c r="Z45" s="36"/>
      <c r="AA45" s="20"/>
      <c r="AB45" s="36"/>
      <c r="AC45" s="20"/>
      <c r="AD45" s="36"/>
      <c r="AE45" s="20"/>
      <c r="AF45" s="36"/>
      <c r="AG45" s="20"/>
      <c r="AH45" s="49">
        <f t="shared" si="1"/>
        <v>0</v>
      </c>
      <c r="AI45" s="73">
        <f t="shared" si="2"/>
        <v>0</v>
      </c>
      <c r="AJ45" s="51"/>
      <c r="AK45" s="51"/>
      <c r="AL45" s="51"/>
      <c r="AM45" s="52"/>
      <c r="AN45" s="51"/>
      <c r="AO45" s="51"/>
    </row>
    <row r="46" spans="1:41">
      <c r="A46" s="54" t="s">
        <v>28</v>
      </c>
      <c r="B46" s="58">
        <v>100</v>
      </c>
      <c r="C46" s="48" t="s">
        <v>29</v>
      </c>
      <c r="D46" s="55" t="s">
        <v>35</v>
      </c>
      <c r="E46" s="53">
        <v>2015</v>
      </c>
      <c r="F46" s="55"/>
      <c r="G46" s="55"/>
      <c r="H46" s="55"/>
      <c r="I46" s="56"/>
      <c r="J46" s="57"/>
      <c r="K46" s="20"/>
      <c r="L46" s="69"/>
      <c r="M46" s="25"/>
      <c r="N46" s="57"/>
      <c r="O46" s="20"/>
      <c r="P46" s="69"/>
      <c r="Q46" s="25"/>
      <c r="R46" s="57"/>
      <c r="S46" s="20"/>
      <c r="T46" s="69"/>
      <c r="U46" s="25"/>
      <c r="V46" s="57"/>
      <c r="W46" s="20"/>
      <c r="X46" s="36"/>
      <c r="Y46" s="20"/>
      <c r="Z46" s="36"/>
      <c r="AA46" s="20"/>
      <c r="AB46" s="36"/>
      <c r="AC46" s="20"/>
      <c r="AD46" s="36"/>
      <c r="AE46" s="20"/>
      <c r="AF46" s="36"/>
      <c r="AG46" s="20"/>
      <c r="AH46" s="49">
        <f t="shared" si="1"/>
        <v>0</v>
      </c>
      <c r="AI46" s="73">
        <f t="shared" si="2"/>
        <v>0</v>
      </c>
      <c r="AJ46" s="51"/>
      <c r="AK46" s="51"/>
      <c r="AL46" s="51"/>
      <c r="AM46" s="52"/>
      <c r="AN46" s="51"/>
      <c r="AO46" s="51"/>
    </row>
    <row r="47" spans="1:41">
      <c r="A47" s="54" t="s">
        <v>28</v>
      </c>
      <c r="B47" s="58">
        <v>100</v>
      </c>
      <c r="C47" s="48" t="s">
        <v>29</v>
      </c>
      <c r="D47" s="55" t="s">
        <v>35</v>
      </c>
      <c r="E47" s="53">
        <v>2015</v>
      </c>
      <c r="F47" s="55"/>
      <c r="G47" s="55"/>
      <c r="H47" s="55"/>
      <c r="I47" s="56"/>
      <c r="J47" s="57"/>
      <c r="K47" s="20"/>
      <c r="L47" s="69"/>
      <c r="M47" s="25"/>
      <c r="N47" s="57"/>
      <c r="O47" s="20"/>
      <c r="P47" s="69"/>
      <c r="Q47" s="25"/>
      <c r="R47" s="57"/>
      <c r="S47" s="20"/>
      <c r="T47" s="69"/>
      <c r="U47" s="25"/>
      <c r="V47" s="57"/>
      <c r="W47" s="20"/>
      <c r="X47" s="36"/>
      <c r="Y47" s="20"/>
      <c r="Z47" s="36"/>
      <c r="AA47" s="20"/>
      <c r="AB47" s="36"/>
      <c r="AC47" s="20"/>
      <c r="AD47" s="36"/>
      <c r="AE47" s="20"/>
      <c r="AF47" s="36"/>
      <c r="AG47" s="20"/>
      <c r="AH47" s="49">
        <f t="shared" si="1"/>
        <v>0</v>
      </c>
      <c r="AI47" s="73">
        <f t="shared" si="2"/>
        <v>0</v>
      </c>
      <c r="AJ47" s="51"/>
      <c r="AK47" s="51"/>
      <c r="AL47" s="51"/>
      <c r="AM47" s="52"/>
      <c r="AN47" s="51"/>
      <c r="AO47" s="51"/>
    </row>
    <row r="48" spans="1:41">
      <c r="A48" s="54" t="s">
        <v>28</v>
      </c>
      <c r="B48" s="58">
        <v>100</v>
      </c>
      <c r="C48" s="48" t="s">
        <v>29</v>
      </c>
      <c r="D48" s="55" t="s">
        <v>35</v>
      </c>
      <c r="E48" s="53">
        <v>2015</v>
      </c>
      <c r="F48" s="55"/>
      <c r="G48" s="55"/>
      <c r="H48" s="55"/>
      <c r="I48" s="56"/>
      <c r="J48" s="57"/>
      <c r="K48" s="20"/>
      <c r="L48" s="69"/>
      <c r="M48" s="25"/>
      <c r="N48" s="57"/>
      <c r="O48" s="20"/>
      <c r="P48" s="69"/>
      <c r="Q48" s="25"/>
      <c r="R48" s="57"/>
      <c r="S48" s="20"/>
      <c r="T48" s="69"/>
      <c r="U48" s="25"/>
      <c r="V48" s="57"/>
      <c r="W48" s="20"/>
      <c r="X48" s="36"/>
      <c r="Y48" s="20"/>
      <c r="Z48" s="36"/>
      <c r="AA48" s="20"/>
      <c r="AB48" s="36"/>
      <c r="AC48" s="20"/>
      <c r="AD48" s="36"/>
      <c r="AE48" s="20"/>
      <c r="AF48" s="36"/>
      <c r="AG48" s="20"/>
      <c r="AH48" s="49">
        <f t="shared" si="1"/>
        <v>0</v>
      </c>
      <c r="AI48" s="73">
        <f t="shared" si="2"/>
        <v>0</v>
      </c>
      <c r="AJ48" s="51"/>
      <c r="AK48" s="51"/>
      <c r="AL48" s="51"/>
      <c r="AM48" s="52"/>
      <c r="AN48" s="51"/>
      <c r="AO48" s="51"/>
    </row>
    <row r="49" spans="1:41">
      <c r="A49" s="54" t="s">
        <v>28</v>
      </c>
      <c r="B49" s="58">
        <v>100</v>
      </c>
      <c r="C49" s="48" t="s">
        <v>29</v>
      </c>
      <c r="D49" s="55" t="s">
        <v>35</v>
      </c>
      <c r="E49" s="53">
        <v>2015</v>
      </c>
      <c r="F49" s="55"/>
      <c r="G49" s="55"/>
      <c r="H49" s="55"/>
      <c r="I49" s="56"/>
      <c r="J49" s="57"/>
      <c r="K49" s="20"/>
      <c r="L49" s="69"/>
      <c r="M49" s="25"/>
      <c r="N49" s="57"/>
      <c r="O49" s="20"/>
      <c r="P49" s="69"/>
      <c r="Q49" s="25"/>
      <c r="R49" s="57"/>
      <c r="S49" s="20"/>
      <c r="T49" s="69"/>
      <c r="U49" s="25"/>
      <c r="V49" s="57"/>
      <c r="W49" s="20"/>
      <c r="X49" s="36"/>
      <c r="Y49" s="20"/>
      <c r="Z49" s="36"/>
      <c r="AA49" s="20"/>
      <c r="AB49" s="36"/>
      <c r="AC49" s="20"/>
      <c r="AD49" s="36"/>
      <c r="AE49" s="20"/>
      <c r="AF49" s="36"/>
      <c r="AG49" s="20"/>
      <c r="AH49" s="49">
        <f t="shared" si="1"/>
        <v>0</v>
      </c>
      <c r="AI49" s="73">
        <f t="shared" si="2"/>
        <v>0</v>
      </c>
      <c r="AJ49" s="51"/>
      <c r="AK49" s="51"/>
      <c r="AL49" s="51"/>
      <c r="AM49" s="52"/>
      <c r="AN49" s="51"/>
      <c r="AO49" s="51"/>
    </row>
    <row r="50" spans="1:41">
      <c r="A50" s="54" t="s">
        <v>28</v>
      </c>
      <c r="B50" s="58">
        <v>100</v>
      </c>
      <c r="C50" s="48" t="s">
        <v>29</v>
      </c>
      <c r="D50" s="55" t="s">
        <v>35</v>
      </c>
      <c r="E50" s="53">
        <v>2015</v>
      </c>
      <c r="F50" s="55"/>
      <c r="G50" s="55"/>
      <c r="H50" s="55"/>
      <c r="I50" s="56"/>
      <c r="J50" s="57"/>
      <c r="K50" s="20"/>
      <c r="L50" s="69"/>
      <c r="M50" s="25"/>
      <c r="N50" s="57"/>
      <c r="O50" s="20"/>
      <c r="P50" s="69"/>
      <c r="Q50" s="25"/>
      <c r="R50" s="57"/>
      <c r="S50" s="20"/>
      <c r="T50" s="69"/>
      <c r="U50" s="25"/>
      <c r="V50" s="57"/>
      <c r="W50" s="20"/>
      <c r="X50" s="36"/>
      <c r="Y50" s="20"/>
      <c r="Z50" s="36"/>
      <c r="AA50" s="20"/>
      <c r="AB50" s="36"/>
      <c r="AC50" s="20"/>
      <c r="AD50" s="36"/>
      <c r="AE50" s="20"/>
      <c r="AF50" s="36"/>
      <c r="AG50" s="20"/>
      <c r="AH50" s="49">
        <f t="shared" si="1"/>
        <v>0</v>
      </c>
      <c r="AI50" s="73">
        <f t="shared" si="2"/>
        <v>0</v>
      </c>
      <c r="AJ50" s="51"/>
      <c r="AK50" s="51"/>
      <c r="AL50" s="51"/>
      <c r="AM50" s="52"/>
      <c r="AN50" s="51"/>
      <c r="AO50" s="51"/>
    </row>
    <row r="51" spans="1:41">
      <c r="A51" s="54" t="s">
        <v>28</v>
      </c>
      <c r="B51" s="58">
        <v>100</v>
      </c>
      <c r="C51" s="48" t="s">
        <v>29</v>
      </c>
      <c r="D51" s="55" t="s">
        <v>35</v>
      </c>
      <c r="E51" s="53">
        <v>2015</v>
      </c>
      <c r="F51" s="55"/>
      <c r="G51" s="55"/>
      <c r="H51" s="55"/>
      <c r="I51" s="56"/>
      <c r="J51" s="57"/>
      <c r="K51" s="20"/>
      <c r="L51" s="69"/>
      <c r="M51" s="25"/>
      <c r="N51" s="57"/>
      <c r="O51" s="20"/>
      <c r="P51" s="69"/>
      <c r="Q51" s="25"/>
      <c r="R51" s="57"/>
      <c r="S51" s="20"/>
      <c r="T51" s="69"/>
      <c r="U51" s="25"/>
      <c r="V51" s="57"/>
      <c r="W51" s="20"/>
      <c r="X51" s="36"/>
      <c r="Y51" s="20"/>
      <c r="Z51" s="36"/>
      <c r="AA51" s="20"/>
      <c r="AB51" s="36"/>
      <c r="AC51" s="20"/>
      <c r="AD51" s="36"/>
      <c r="AE51" s="20"/>
      <c r="AF51" s="36"/>
      <c r="AG51" s="20"/>
      <c r="AH51" s="49">
        <f t="shared" si="1"/>
        <v>0</v>
      </c>
      <c r="AI51" s="73">
        <f t="shared" si="2"/>
        <v>0</v>
      </c>
      <c r="AJ51" s="51"/>
      <c r="AK51" s="51"/>
      <c r="AL51" s="51"/>
      <c r="AM51" s="52"/>
      <c r="AN51" s="51"/>
      <c r="AO51" s="51"/>
    </row>
    <row r="52" spans="1:41">
      <c r="A52" s="54" t="s">
        <v>28</v>
      </c>
      <c r="B52" s="58">
        <v>100</v>
      </c>
      <c r="C52" s="48" t="s">
        <v>29</v>
      </c>
      <c r="D52" s="55" t="s">
        <v>35</v>
      </c>
      <c r="E52" s="53">
        <v>2015</v>
      </c>
      <c r="F52" s="55"/>
      <c r="G52" s="55"/>
      <c r="H52" s="55"/>
      <c r="I52" s="56"/>
      <c r="J52" s="57"/>
      <c r="K52" s="20"/>
      <c r="L52" s="69"/>
      <c r="M52" s="25"/>
      <c r="N52" s="57"/>
      <c r="O52" s="20"/>
      <c r="P52" s="69"/>
      <c r="Q52" s="25"/>
      <c r="R52" s="57"/>
      <c r="S52" s="20"/>
      <c r="T52" s="69"/>
      <c r="U52" s="25"/>
      <c r="V52" s="57"/>
      <c r="W52" s="20"/>
      <c r="X52" s="36"/>
      <c r="Y52" s="20"/>
      <c r="Z52" s="36"/>
      <c r="AA52" s="20"/>
      <c r="AB52" s="36"/>
      <c r="AC52" s="20"/>
      <c r="AD52" s="36"/>
      <c r="AE52" s="20"/>
      <c r="AF52" s="36"/>
      <c r="AG52" s="20"/>
      <c r="AH52" s="49">
        <f t="shared" si="1"/>
        <v>0</v>
      </c>
      <c r="AI52" s="73">
        <f t="shared" si="2"/>
        <v>0</v>
      </c>
      <c r="AJ52" s="51"/>
      <c r="AK52" s="51"/>
      <c r="AL52" s="51"/>
      <c r="AM52" s="52"/>
      <c r="AN52" s="51"/>
      <c r="AO52" s="51"/>
    </row>
    <row r="53" spans="1:41">
      <c r="A53" s="54" t="s">
        <v>28</v>
      </c>
      <c r="B53" s="58">
        <v>100</v>
      </c>
      <c r="C53" s="48" t="s">
        <v>29</v>
      </c>
      <c r="D53" s="55" t="s">
        <v>35</v>
      </c>
      <c r="E53" s="53">
        <v>2015</v>
      </c>
      <c r="F53" s="55"/>
      <c r="G53" s="55"/>
      <c r="H53" s="55"/>
      <c r="I53" s="56"/>
      <c r="J53" s="57"/>
      <c r="K53" s="20"/>
      <c r="L53" s="69"/>
      <c r="M53" s="25"/>
      <c r="N53" s="57"/>
      <c r="O53" s="20"/>
      <c r="P53" s="69"/>
      <c r="Q53" s="25"/>
      <c r="R53" s="57"/>
      <c r="S53" s="20"/>
      <c r="T53" s="69"/>
      <c r="U53" s="25"/>
      <c r="V53" s="57"/>
      <c r="W53" s="20"/>
      <c r="X53" s="36"/>
      <c r="Y53" s="20"/>
      <c r="Z53" s="36"/>
      <c r="AA53" s="20"/>
      <c r="AB53" s="36"/>
      <c r="AC53" s="20"/>
      <c r="AD53" s="36"/>
      <c r="AE53" s="20"/>
      <c r="AF53" s="36"/>
      <c r="AG53" s="20"/>
      <c r="AH53" s="49">
        <f t="shared" si="1"/>
        <v>0</v>
      </c>
      <c r="AI53" s="73">
        <f t="shared" si="2"/>
        <v>0</v>
      </c>
      <c r="AJ53" s="51"/>
      <c r="AK53" s="51"/>
      <c r="AL53" s="51"/>
      <c r="AM53" s="52"/>
      <c r="AN53" s="51"/>
      <c r="AO53" s="51"/>
    </row>
    <row r="54" spans="1:41">
      <c r="A54" s="54" t="s">
        <v>28</v>
      </c>
      <c r="B54" s="58">
        <v>100</v>
      </c>
      <c r="C54" s="48" t="s">
        <v>29</v>
      </c>
      <c r="D54" s="55" t="s">
        <v>35</v>
      </c>
      <c r="E54" s="53">
        <v>2015</v>
      </c>
      <c r="F54" s="55"/>
      <c r="G54" s="55"/>
      <c r="H54" s="55"/>
      <c r="I54" s="56"/>
      <c r="J54" s="57"/>
      <c r="K54" s="20"/>
      <c r="L54" s="69"/>
      <c r="M54" s="25"/>
      <c r="N54" s="57"/>
      <c r="O54" s="20"/>
      <c r="P54" s="69"/>
      <c r="Q54" s="25"/>
      <c r="R54" s="57"/>
      <c r="S54" s="20"/>
      <c r="T54" s="69"/>
      <c r="U54" s="25"/>
      <c r="V54" s="57"/>
      <c r="W54" s="20"/>
      <c r="X54" s="36"/>
      <c r="Y54" s="20"/>
      <c r="Z54" s="36"/>
      <c r="AA54" s="20"/>
      <c r="AB54" s="36"/>
      <c r="AC54" s="20"/>
      <c r="AD54" s="36"/>
      <c r="AE54" s="20"/>
      <c r="AF54" s="36"/>
      <c r="AG54" s="20"/>
      <c r="AH54" s="49">
        <f t="shared" si="1"/>
        <v>0</v>
      </c>
      <c r="AI54" s="73">
        <f t="shared" si="2"/>
        <v>0</v>
      </c>
      <c r="AJ54" s="51"/>
      <c r="AK54" s="51"/>
      <c r="AL54" s="51"/>
      <c r="AM54" s="52"/>
      <c r="AN54" s="51"/>
      <c r="AO54" s="51"/>
    </row>
    <row r="55" spans="1:41">
      <c r="A55" s="54" t="s">
        <v>28</v>
      </c>
      <c r="B55" s="58">
        <v>100</v>
      </c>
      <c r="C55" s="48" t="s">
        <v>29</v>
      </c>
      <c r="D55" s="55" t="s">
        <v>35</v>
      </c>
      <c r="E55" s="53">
        <v>2015</v>
      </c>
      <c r="F55" s="55"/>
      <c r="G55" s="55"/>
      <c r="H55" s="55"/>
      <c r="I55" s="56"/>
      <c r="J55" s="57"/>
      <c r="K55" s="20"/>
      <c r="L55" s="69"/>
      <c r="M55" s="25"/>
      <c r="N55" s="57"/>
      <c r="O55" s="20"/>
      <c r="P55" s="69"/>
      <c r="Q55" s="25"/>
      <c r="R55" s="57"/>
      <c r="S55" s="20"/>
      <c r="T55" s="69"/>
      <c r="U55" s="25"/>
      <c r="V55" s="57"/>
      <c r="W55" s="20"/>
      <c r="X55" s="36"/>
      <c r="Y55" s="20"/>
      <c r="Z55" s="36"/>
      <c r="AA55" s="20"/>
      <c r="AB55" s="36"/>
      <c r="AC55" s="20"/>
      <c r="AD55" s="36"/>
      <c r="AE55" s="20"/>
      <c r="AF55" s="36"/>
      <c r="AG55" s="20"/>
      <c r="AH55" s="49">
        <f t="shared" si="1"/>
        <v>0</v>
      </c>
      <c r="AI55" s="73">
        <f t="shared" si="2"/>
        <v>0</v>
      </c>
      <c r="AJ55" s="51"/>
      <c r="AK55" s="51"/>
      <c r="AL55" s="51"/>
      <c r="AM55" s="52"/>
      <c r="AN55" s="51"/>
      <c r="AO55" s="51"/>
    </row>
    <row r="56" spans="1:41">
      <c r="A56" s="54" t="s">
        <v>28</v>
      </c>
      <c r="B56" s="58">
        <v>100</v>
      </c>
      <c r="C56" s="48" t="s">
        <v>29</v>
      </c>
      <c r="D56" s="55" t="s">
        <v>35</v>
      </c>
      <c r="E56" s="53">
        <v>2015</v>
      </c>
      <c r="F56" s="55"/>
      <c r="G56" s="55"/>
      <c r="H56" s="55"/>
      <c r="I56" s="56"/>
      <c r="J56" s="57"/>
      <c r="K56" s="20"/>
      <c r="L56" s="69"/>
      <c r="M56" s="25"/>
      <c r="N56" s="57"/>
      <c r="O56" s="20"/>
      <c r="P56" s="69"/>
      <c r="Q56" s="25"/>
      <c r="R56" s="57"/>
      <c r="S56" s="20"/>
      <c r="T56" s="69"/>
      <c r="U56" s="25"/>
      <c r="V56" s="57"/>
      <c r="W56" s="20"/>
      <c r="X56" s="36"/>
      <c r="Y56" s="20"/>
      <c r="Z56" s="36"/>
      <c r="AA56" s="20"/>
      <c r="AB56" s="36"/>
      <c r="AC56" s="20"/>
      <c r="AD56" s="36"/>
      <c r="AE56" s="20"/>
      <c r="AF56" s="36"/>
      <c r="AG56" s="20"/>
      <c r="AH56" s="49">
        <f t="shared" si="1"/>
        <v>0</v>
      </c>
      <c r="AI56" s="73">
        <f t="shared" si="2"/>
        <v>0</v>
      </c>
      <c r="AJ56" s="51"/>
      <c r="AK56" s="51"/>
      <c r="AL56" s="51"/>
      <c r="AM56" s="52"/>
      <c r="AN56" s="51"/>
      <c r="AO56" s="51"/>
    </row>
    <row r="57" spans="1:41">
      <c r="A57" s="54" t="s">
        <v>28</v>
      </c>
      <c r="B57" s="58">
        <v>100</v>
      </c>
      <c r="C57" s="48" t="s">
        <v>29</v>
      </c>
      <c r="D57" s="55" t="s">
        <v>35</v>
      </c>
      <c r="E57" s="53">
        <v>2015</v>
      </c>
      <c r="F57" s="55"/>
      <c r="G57" s="55"/>
      <c r="H57" s="55"/>
      <c r="I57" s="56"/>
      <c r="J57" s="57"/>
      <c r="K57" s="20"/>
      <c r="L57" s="69"/>
      <c r="M57" s="25"/>
      <c r="N57" s="57"/>
      <c r="O57" s="20"/>
      <c r="P57" s="69"/>
      <c r="Q57" s="25"/>
      <c r="R57" s="57"/>
      <c r="S57" s="20"/>
      <c r="T57" s="69"/>
      <c r="U57" s="25"/>
      <c r="V57" s="57"/>
      <c r="W57" s="20"/>
      <c r="X57" s="36"/>
      <c r="Y57" s="20"/>
      <c r="Z57" s="36"/>
      <c r="AA57" s="20"/>
      <c r="AB57" s="36"/>
      <c r="AC57" s="20"/>
      <c r="AD57" s="36"/>
      <c r="AE57" s="20"/>
      <c r="AF57" s="36"/>
      <c r="AG57" s="20"/>
      <c r="AH57" s="49">
        <f t="shared" si="1"/>
        <v>0</v>
      </c>
      <c r="AI57" s="73">
        <f t="shared" si="2"/>
        <v>0</v>
      </c>
      <c r="AJ57" s="51"/>
      <c r="AK57" s="51"/>
      <c r="AL57" s="51"/>
      <c r="AM57" s="52"/>
      <c r="AN57" s="51"/>
      <c r="AO57" s="51"/>
    </row>
    <row r="58" spans="1:41">
      <c r="A58" s="54" t="s">
        <v>28</v>
      </c>
      <c r="B58" s="58">
        <v>100</v>
      </c>
      <c r="C58" s="48" t="s">
        <v>29</v>
      </c>
      <c r="D58" s="55" t="s">
        <v>35</v>
      </c>
      <c r="E58" s="53">
        <v>2015</v>
      </c>
      <c r="F58" s="55"/>
      <c r="G58" s="55"/>
      <c r="H58" s="55"/>
      <c r="I58" s="56"/>
      <c r="J58" s="57"/>
      <c r="K58" s="20"/>
      <c r="L58" s="69"/>
      <c r="M58" s="25"/>
      <c r="N58" s="57"/>
      <c r="O58" s="20"/>
      <c r="P58" s="69"/>
      <c r="Q58" s="25"/>
      <c r="R58" s="57"/>
      <c r="S58" s="20"/>
      <c r="T58" s="69"/>
      <c r="U58" s="25"/>
      <c r="V58" s="57"/>
      <c r="W58" s="20"/>
      <c r="X58" s="36"/>
      <c r="Y58" s="20"/>
      <c r="Z58" s="36"/>
      <c r="AA58" s="20"/>
      <c r="AB58" s="36"/>
      <c r="AC58" s="20"/>
      <c r="AD58" s="36"/>
      <c r="AE58" s="20"/>
      <c r="AF58" s="36"/>
      <c r="AG58" s="20"/>
      <c r="AH58" s="49">
        <f t="shared" si="1"/>
        <v>0</v>
      </c>
      <c r="AI58" s="73">
        <f t="shared" si="2"/>
        <v>0</v>
      </c>
      <c r="AJ58" s="51"/>
      <c r="AK58" s="51"/>
      <c r="AL58" s="51"/>
      <c r="AM58" s="52"/>
      <c r="AN58" s="51"/>
      <c r="AO58" s="51"/>
    </row>
    <row r="59" spans="1:41">
      <c r="A59" s="54" t="s">
        <v>28</v>
      </c>
      <c r="B59" s="58">
        <v>100</v>
      </c>
      <c r="C59" s="48" t="s">
        <v>29</v>
      </c>
      <c r="D59" s="55" t="s">
        <v>35</v>
      </c>
      <c r="E59" s="53">
        <v>2015</v>
      </c>
      <c r="F59" s="55"/>
      <c r="G59" s="55"/>
      <c r="H59" s="55"/>
      <c r="I59" s="56"/>
      <c r="J59" s="57"/>
      <c r="K59" s="20"/>
      <c r="L59" s="69"/>
      <c r="M59" s="25"/>
      <c r="N59" s="57"/>
      <c r="O59" s="20"/>
      <c r="P59" s="69"/>
      <c r="Q59" s="25"/>
      <c r="R59" s="57"/>
      <c r="S59" s="20"/>
      <c r="T59" s="69"/>
      <c r="U59" s="25"/>
      <c r="V59" s="57"/>
      <c r="W59" s="20"/>
      <c r="X59" s="36"/>
      <c r="Y59" s="20"/>
      <c r="Z59" s="36"/>
      <c r="AA59" s="20"/>
      <c r="AB59" s="36"/>
      <c r="AC59" s="20"/>
      <c r="AD59" s="36"/>
      <c r="AE59" s="20"/>
      <c r="AF59" s="36"/>
      <c r="AG59" s="20"/>
      <c r="AH59" s="49">
        <f t="shared" si="1"/>
        <v>0</v>
      </c>
      <c r="AI59" s="73">
        <f t="shared" si="2"/>
        <v>0</v>
      </c>
      <c r="AJ59" s="51"/>
      <c r="AK59" s="51"/>
      <c r="AL59" s="51"/>
      <c r="AM59" s="52"/>
      <c r="AN59" s="51"/>
      <c r="AO59" s="51"/>
    </row>
    <row r="60" spans="1:41">
      <c r="A60" s="54" t="s">
        <v>28</v>
      </c>
      <c r="B60" s="58">
        <v>100</v>
      </c>
      <c r="C60" s="48" t="s">
        <v>29</v>
      </c>
      <c r="D60" s="55" t="s">
        <v>35</v>
      </c>
      <c r="E60" s="53">
        <v>2015</v>
      </c>
      <c r="F60" s="55"/>
      <c r="G60" s="55"/>
      <c r="H60" s="55"/>
      <c r="I60" s="56"/>
      <c r="J60" s="57"/>
      <c r="K60" s="20"/>
      <c r="L60" s="69"/>
      <c r="M60" s="25"/>
      <c r="N60" s="57"/>
      <c r="O60" s="20"/>
      <c r="P60" s="69"/>
      <c r="Q60" s="25"/>
      <c r="R60" s="57"/>
      <c r="S60" s="20"/>
      <c r="T60" s="69"/>
      <c r="U60" s="25"/>
      <c r="V60" s="57"/>
      <c r="W60" s="20"/>
      <c r="X60" s="36"/>
      <c r="Y60" s="20"/>
      <c r="Z60" s="36"/>
      <c r="AA60" s="20"/>
      <c r="AB60" s="36"/>
      <c r="AC60" s="20"/>
      <c r="AD60" s="36"/>
      <c r="AE60" s="20"/>
      <c r="AF60" s="36"/>
      <c r="AG60" s="20"/>
      <c r="AH60" s="49">
        <f t="shared" si="1"/>
        <v>0</v>
      </c>
      <c r="AI60" s="73">
        <f t="shared" si="2"/>
        <v>0</v>
      </c>
      <c r="AJ60" s="51"/>
      <c r="AK60" s="51"/>
      <c r="AL60" s="51"/>
      <c r="AM60" s="52"/>
      <c r="AN60" s="51"/>
      <c r="AO60" s="51"/>
    </row>
    <row r="61" spans="1:41">
      <c r="A61" s="54" t="s">
        <v>28</v>
      </c>
      <c r="B61" s="58">
        <v>100</v>
      </c>
      <c r="C61" s="48" t="s">
        <v>29</v>
      </c>
      <c r="D61" s="55" t="s">
        <v>35</v>
      </c>
      <c r="E61" s="53">
        <v>2015</v>
      </c>
      <c r="F61" s="55"/>
      <c r="G61" s="55"/>
      <c r="H61" s="55"/>
      <c r="I61" s="56"/>
      <c r="J61" s="57"/>
      <c r="K61" s="20"/>
      <c r="L61" s="69"/>
      <c r="M61" s="25"/>
      <c r="N61" s="57"/>
      <c r="O61" s="20"/>
      <c r="P61" s="69"/>
      <c r="Q61" s="25"/>
      <c r="R61" s="57"/>
      <c r="S61" s="20"/>
      <c r="T61" s="69"/>
      <c r="U61" s="25"/>
      <c r="V61" s="57"/>
      <c r="W61" s="20"/>
      <c r="X61" s="36"/>
      <c r="Y61" s="20"/>
      <c r="Z61" s="36"/>
      <c r="AA61" s="20"/>
      <c r="AB61" s="36"/>
      <c r="AC61" s="20"/>
      <c r="AD61" s="36"/>
      <c r="AE61" s="20"/>
      <c r="AF61" s="36"/>
      <c r="AG61" s="20"/>
      <c r="AH61" s="49">
        <f t="shared" si="1"/>
        <v>0</v>
      </c>
      <c r="AI61" s="73">
        <f t="shared" si="2"/>
        <v>0</v>
      </c>
      <c r="AJ61" s="51"/>
      <c r="AK61" s="51"/>
      <c r="AL61" s="51"/>
      <c r="AM61" s="52"/>
      <c r="AN61" s="51"/>
      <c r="AO61" s="51"/>
    </row>
    <row r="62" spans="1:41">
      <c r="A62" s="54" t="s">
        <v>28</v>
      </c>
      <c r="B62" s="58">
        <v>100</v>
      </c>
      <c r="C62" s="48" t="s">
        <v>29</v>
      </c>
      <c r="D62" s="55" t="s">
        <v>35</v>
      </c>
      <c r="E62" s="53">
        <v>2015</v>
      </c>
      <c r="F62" s="55"/>
      <c r="G62" s="55"/>
      <c r="H62" s="55"/>
      <c r="I62" s="56"/>
      <c r="J62" s="57"/>
      <c r="K62" s="20"/>
      <c r="L62" s="69"/>
      <c r="M62" s="25"/>
      <c r="N62" s="57"/>
      <c r="O62" s="20"/>
      <c r="P62" s="69"/>
      <c r="Q62" s="25"/>
      <c r="R62" s="57"/>
      <c r="S62" s="20"/>
      <c r="T62" s="69"/>
      <c r="U62" s="25"/>
      <c r="V62" s="57"/>
      <c r="W62" s="20"/>
      <c r="X62" s="36"/>
      <c r="Y62" s="20"/>
      <c r="Z62" s="36"/>
      <c r="AA62" s="20"/>
      <c r="AB62" s="36"/>
      <c r="AC62" s="20"/>
      <c r="AD62" s="36"/>
      <c r="AE62" s="20"/>
      <c r="AF62" s="36"/>
      <c r="AG62" s="20"/>
      <c r="AH62" s="49">
        <f t="shared" si="1"/>
        <v>0</v>
      </c>
      <c r="AI62" s="73">
        <f t="shared" si="2"/>
        <v>0</v>
      </c>
      <c r="AJ62" s="51"/>
      <c r="AK62" s="51"/>
      <c r="AL62" s="51"/>
      <c r="AM62" s="52"/>
      <c r="AN62" s="51"/>
      <c r="AO62" s="51"/>
    </row>
    <row r="63" spans="1:41">
      <c r="A63" s="54" t="s">
        <v>28</v>
      </c>
      <c r="B63" s="58">
        <v>100</v>
      </c>
      <c r="C63" s="48" t="s">
        <v>29</v>
      </c>
      <c r="D63" s="55" t="s">
        <v>35</v>
      </c>
      <c r="E63" s="53">
        <v>2015</v>
      </c>
      <c r="F63" s="55"/>
      <c r="G63" s="55"/>
      <c r="H63" s="55"/>
      <c r="I63" s="56"/>
      <c r="J63" s="57"/>
      <c r="K63" s="20"/>
      <c r="L63" s="69"/>
      <c r="M63" s="25"/>
      <c r="N63" s="57"/>
      <c r="O63" s="20"/>
      <c r="P63" s="69"/>
      <c r="Q63" s="25"/>
      <c r="R63" s="57"/>
      <c r="S63" s="20"/>
      <c r="T63" s="69"/>
      <c r="U63" s="25"/>
      <c r="V63" s="57"/>
      <c r="W63" s="20"/>
      <c r="X63" s="36"/>
      <c r="Y63" s="20"/>
      <c r="Z63" s="36"/>
      <c r="AA63" s="20"/>
      <c r="AB63" s="36"/>
      <c r="AC63" s="20"/>
      <c r="AD63" s="36"/>
      <c r="AE63" s="20"/>
      <c r="AF63" s="36"/>
      <c r="AG63" s="20"/>
      <c r="AH63" s="49">
        <f t="shared" si="1"/>
        <v>0</v>
      </c>
      <c r="AI63" s="73">
        <f t="shared" si="2"/>
        <v>0</v>
      </c>
      <c r="AJ63" s="51"/>
      <c r="AK63" s="51"/>
      <c r="AL63" s="51"/>
      <c r="AM63" s="52"/>
      <c r="AN63" s="51"/>
      <c r="AO63" s="51"/>
    </row>
    <row r="64" spans="1:41">
      <c r="A64" s="54" t="s">
        <v>28</v>
      </c>
      <c r="B64" s="58">
        <v>100</v>
      </c>
      <c r="C64" s="48" t="s">
        <v>29</v>
      </c>
      <c r="D64" s="55" t="s">
        <v>35</v>
      </c>
      <c r="E64" s="53">
        <v>2015</v>
      </c>
      <c r="F64" s="55"/>
      <c r="G64" s="55"/>
      <c r="H64" s="55"/>
      <c r="I64" s="56"/>
      <c r="J64" s="57"/>
      <c r="K64" s="20"/>
      <c r="L64" s="69"/>
      <c r="M64" s="25"/>
      <c r="N64" s="57"/>
      <c r="O64" s="20"/>
      <c r="P64" s="69"/>
      <c r="Q64" s="25"/>
      <c r="R64" s="57"/>
      <c r="S64" s="20"/>
      <c r="T64" s="69"/>
      <c r="U64" s="25"/>
      <c r="V64" s="57"/>
      <c r="W64" s="20"/>
      <c r="X64" s="36"/>
      <c r="Y64" s="20"/>
      <c r="Z64" s="36"/>
      <c r="AA64" s="20"/>
      <c r="AB64" s="36"/>
      <c r="AC64" s="20"/>
      <c r="AD64" s="36"/>
      <c r="AE64" s="20"/>
      <c r="AF64" s="36"/>
      <c r="AG64" s="20"/>
      <c r="AH64" s="49">
        <f t="shared" si="1"/>
        <v>0</v>
      </c>
      <c r="AI64" s="73">
        <f t="shared" si="2"/>
        <v>0</v>
      </c>
      <c r="AJ64" s="51"/>
      <c r="AK64" s="51"/>
      <c r="AL64" s="51"/>
      <c r="AM64" s="52"/>
      <c r="AN64" s="51"/>
      <c r="AO64" s="51"/>
    </row>
    <row r="65" spans="1:41">
      <c r="A65" s="54" t="s">
        <v>28</v>
      </c>
      <c r="B65" s="58">
        <v>100</v>
      </c>
      <c r="C65" s="48" t="s">
        <v>29</v>
      </c>
      <c r="D65" s="55" t="s">
        <v>35</v>
      </c>
      <c r="E65" s="53">
        <v>2015</v>
      </c>
      <c r="F65" s="55"/>
      <c r="G65" s="55"/>
      <c r="H65" s="55"/>
      <c r="I65" s="56"/>
      <c r="J65" s="57"/>
      <c r="K65" s="20"/>
      <c r="L65" s="69"/>
      <c r="M65" s="25"/>
      <c r="N65" s="57"/>
      <c r="O65" s="20"/>
      <c r="P65" s="69"/>
      <c r="Q65" s="25"/>
      <c r="R65" s="57"/>
      <c r="S65" s="20"/>
      <c r="T65" s="69"/>
      <c r="U65" s="25"/>
      <c r="V65" s="57"/>
      <c r="W65" s="20"/>
      <c r="X65" s="36"/>
      <c r="Y65" s="20"/>
      <c r="Z65" s="36"/>
      <c r="AA65" s="20"/>
      <c r="AB65" s="36"/>
      <c r="AC65" s="20"/>
      <c r="AD65" s="36"/>
      <c r="AE65" s="20"/>
      <c r="AF65" s="36"/>
      <c r="AG65" s="20"/>
      <c r="AH65" s="49">
        <f t="shared" si="1"/>
        <v>0</v>
      </c>
      <c r="AI65" s="73">
        <f t="shared" si="2"/>
        <v>0</v>
      </c>
      <c r="AJ65" s="51"/>
      <c r="AK65" s="51"/>
      <c r="AL65" s="51"/>
      <c r="AM65" s="52"/>
      <c r="AN65" s="51"/>
      <c r="AO65" s="51"/>
    </row>
    <row r="66" spans="1:41">
      <c r="A66" s="54" t="s">
        <v>28</v>
      </c>
      <c r="B66" s="58">
        <v>100</v>
      </c>
      <c r="C66" s="48" t="s">
        <v>29</v>
      </c>
      <c r="D66" s="55" t="s">
        <v>35</v>
      </c>
      <c r="E66" s="53">
        <v>2015</v>
      </c>
      <c r="F66" s="55"/>
      <c r="G66" s="55"/>
      <c r="H66" s="55"/>
      <c r="I66" s="56"/>
      <c r="J66" s="57"/>
      <c r="K66" s="20"/>
      <c r="L66" s="69"/>
      <c r="M66" s="25"/>
      <c r="N66" s="57"/>
      <c r="O66" s="20"/>
      <c r="P66" s="69"/>
      <c r="Q66" s="25"/>
      <c r="R66" s="57"/>
      <c r="S66" s="20"/>
      <c r="T66" s="69"/>
      <c r="U66" s="25"/>
      <c r="V66" s="57"/>
      <c r="W66" s="20"/>
      <c r="X66" s="36"/>
      <c r="Y66" s="20"/>
      <c r="Z66" s="36"/>
      <c r="AA66" s="20"/>
      <c r="AB66" s="36"/>
      <c r="AC66" s="20"/>
      <c r="AD66" s="36"/>
      <c r="AE66" s="20"/>
      <c r="AF66" s="36"/>
      <c r="AG66" s="20"/>
      <c r="AH66" s="49">
        <f t="shared" si="1"/>
        <v>0</v>
      </c>
      <c r="AI66" s="73">
        <f t="shared" si="2"/>
        <v>0</v>
      </c>
      <c r="AJ66" s="51"/>
      <c r="AK66" s="51"/>
      <c r="AL66" s="51"/>
      <c r="AM66" s="52"/>
      <c r="AN66" s="51"/>
      <c r="AO66" s="51"/>
    </row>
    <row r="67" spans="1:41">
      <c r="A67" s="54" t="s">
        <v>28</v>
      </c>
      <c r="B67" s="58">
        <v>100</v>
      </c>
      <c r="C67" s="48" t="s">
        <v>29</v>
      </c>
      <c r="D67" s="55" t="s">
        <v>35</v>
      </c>
      <c r="E67" s="53">
        <v>2015</v>
      </c>
      <c r="F67" s="55"/>
      <c r="G67" s="55"/>
      <c r="H67" s="55"/>
      <c r="I67" s="56"/>
      <c r="J67" s="57"/>
      <c r="K67" s="20"/>
      <c r="L67" s="69"/>
      <c r="M67" s="25"/>
      <c r="N67" s="57"/>
      <c r="O67" s="20"/>
      <c r="P67" s="69"/>
      <c r="Q67" s="25"/>
      <c r="R67" s="57"/>
      <c r="S67" s="20"/>
      <c r="T67" s="69"/>
      <c r="U67" s="25"/>
      <c r="V67" s="57"/>
      <c r="W67" s="20"/>
      <c r="X67" s="36"/>
      <c r="Y67" s="20"/>
      <c r="Z67" s="36"/>
      <c r="AA67" s="20"/>
      <c r="AB67" s="36"/>
      <c r="AC67" s="20"/>
      <c r="AD67" s="36"/>
      <c r="AE67" s="20"/>
      <c r="AF67" s="36"/>
      <c r="AG67" s="20"/>
      <c r="AH67" s="49">
        <f t="shared" si="1"/>
        <v>0</v>
      </c>
      <c r="AI67" s="73">
        <f t="shared" si="2"/>
        <v>0</v>
      </c>
      <c r="AJ67" s="51"/>
      <c r="AK67" s="51"/>
      <c r="AL67" s="51"/>
      <c r="AM67" s="52"/>
      <c r="AN67" s="51"/>
      <c r="AO67" s="51"/>
    </row>
    <row r="68" spans="1:41">
      <c r="A68" s="54" t="s">
        <v>28</v>
      </c>
      <c r="B68" s="58">
        <v>100</v>
      </c>
      <c r="C68" s="48" t="s">
        <v>29</v>
      </c>
      <c r="D68" s="55" t="s">
        <v>35</v>
      </c>
      <c r="E68" s="53">
        <v>2015</v>
      </c>
      <c r="F68" s="55"/>
      <c r="G68" s="55"/>
      <c r="H68" s="55"/>
      <c r="I68" s="56"/>
      <c r="J68" s="57"/>
      <c r="K68" s="20"/>
      <c r="L68" s="69"/>
      <c r="M68" s="25"/>
      <c r="N68" s="57"/>
      <c r="O68" s="20"/>
      <c r="P68" s="69"/>
      <c r="Q68" s="25"/>
      <c r="R68" s="57"/>
      <c r="S68" s="20"/>
      <c r="T68" s="69"/>
      <c r="U68" s="25"/>
      <c r="V68" s="57"/>
      <c r="W68" s="20"/>
      <c r="X68" s="36"/>
      <c r="Y68" s="20"/>
      <c r="Z68" s="36"/>
      <c r="AA68" s="20"/>
      <c r="AB68" s="36"/>
      <c r="AC68" s="20"/>
      <c r="AD68" s="36"/>
      <c r="AE68" s="20"/>
      <c r="AF68" s="36"/>
      <c r="AG68" s="20"/>
      <c r="AH68" s="49">
        <f t="shared" si="1"/>
        <v>0</v>
      </c>
      <c r="AI68" s="73">
        <f t="shared" si="2"/>
        <v>0</v>
      </c>
      <c r="AJ68" s="51"/>
      <c r="AK68" s="51"/>
      <c r="AL68" s="51"/>
      <c r="AM68" s="52"/>
      <c r="AN68" s="51"/>
      <c r="AO68" s="51"/>
    </row>
    <row r="69" spans="1:41">
      <c r="A69" s="54" t="s">
        <v>28</v>
      </c>
      <c r="B69" s="58">
        <v>100</v>
      </c>
      <c r="C69" s="48" t="s">
        <v>29</v>
      </c>
      <c r="D69" s="55" t="s">
        <v>35</v>
      </c>
      <c r="E69" s="53">
        <v>2015</v>
      </c>
      <c r="F69" s="55"/>
      <c r="G69" s="55"/>
      <c r="H69" s="55"/>
      <c r="I69" s="56"/>
      <c r="J69" s="57"/>
      <c r="K69" s="20"/>
      <c r="L69" s="69"/>
      <c r="M69" s="25"/>
      <c r="N69" s="57"/>
      <c r="O69" s="20"/>
      <c r="P69" s="69"/>
      <c r="Q69" s="25"/>
      <c r="R69" s="57"/>
      <c r="S69" s="20"/>
      <c r="T69" s="69"/>
      <c r="U69" s="25"/>
      <c r="V69" s="57"/>
      <c r="W69" s="20"/>
      <c r="X69" s="36"/>
      <c r="Y69" s="20"/>
      <c r="Z69" s="36"/>
      <c r="AA69" s="20"/>
      <c r="AB69" s="36"/>
      <c r="AC69" s="20"/>
      <c r="AD69" s="36"/>
      <c r="AE69" s="20"/>
      <c r="AF69" s="36"/>
      <c r="AG69" s="20"/>
      <c r="AH69" s="49">
        <f t="shared" ref="AH69:AI132" si="3">AF69+AD69+AB69+Z69+X69+V69+T69+R69+P69+N69+L69+J69</f>
        <v>0</v>
      </c>
      <c r="AI69" s="73">
        <f t="shared" si="3"/>
        <v>0</v>
      </c>
      <c r="AJ69" s="51"/>
      <c r="AK69" s="51"/>
      <c r="AL69" s="51"/>
      <c r="AM69" s="52"/>
      <c r="AN69" s="51"/>
      <c r="AO69" s="51"/>
    </row>
    <row r="70" spans="1:41">
      <c r="A70" s="54" t="s">
        <v>28</v>
      </c>
      <c r="B70" s="58">
        <v>100</v>
      </c>
      <c r="C70" s="48" t="s">
        <v>29</v>
      </c>
      <c r="D70" s="55" t="s">
        <v>35</v>
      </c>
      <c r="E70" s="53">
        <v>2015</v>
      </c>
      <c r="F70" s="55"/>
      <c r="G70" s="55"/>
      <c r="H70" s="55"/>
      <c r="I70" s="56"/>
      <c r="J70" s="57"/>
      <c r="K70" s="20"/>
      <c r="L70" s="69"/>
      <c r="M70" s="25"/>
      <c r="N70" s="57"/>
      <c r="O70" s="20"/>
      <c r="P70" s="69"/>
      <c r="Q70" s="25"/>
      <c r="R70" s="57"/>
      <c r="S70" s="20"/>
      <c r="T70" s="69"/>
      <c r="U70" s="25"/>
      <c r="V70" s="57"/>
      <c r="W70" s="20"/>
      <c r="X70" s="36"/>
      <c r="Y70" s="20"/>
      <c r="Z70" s="36"/>
      <c r="AA70" s="20"/>
      <c r="AB70" s="36"/>
      <c r="AC70" s="20"/>
      <c r="AD70" s="36"/>
      <c r="AE70" s="20"/>
      <c r="AF70" s="36"/>
      <c r="AG70" s="20"/>
      <c r="AH70" s="49">
        <f t="shared" si="3"/>
        <v>0</v>
      </c>
      <c r="AI70" s="73">
        <f t="shared" si="3"/>
        <v>0</v>
      </c>
      <c r="AJ70" s="51"/>
      <c r="AK70" s="51"/>
      <c r="AL70" s="51"/>
      <c r="AM70" s="52"/>
      <c r="AN70" s="51"/>
      <c r="AO70" s="51"/>
    </row>
    <row r="71" spans="1:41">
      <c r="A71" s="54" t="s">
        <v>28</v>
      </c>
      <c r="B71" s="58">
        <v>100</v>
      </c>
      <c r="C71" s="48" t="s">
        <v>29</v>
      </c>
      <c r="D71" s="55" t="s">
        <v>35</v>
      </c>
      <c r="E71" s="53">
        <v>2015</v>
      </c>
      <c r="F71" s="55"/>
      <c r="G71" s="55"/>
      <c r="H71" s="55"/>
      <c r="I71" s="56"/>
      <c r="J71" s="57"/>
      <c r="K71" s="20"/>
      <c r="L71" s="69"/>
      <c r="M71" s="25"/>
      <c r="N71" s="57"/>
      <c r="O71" s="20"/>
      <c r="P71" s="69"/>
      <c r="Q71" s="25"/>
      <c r="R71" s="57"/>
      <c r="S71" s="20"/>
      <c r="T71" s="69"/>
      <c r="U71" s="25"/>
      <c r="V71" s="57"/>
      <c r="W71" s="20"/>
      <c r="X71" s="36"/>
      <c r="Y71" s="20"/>
      <c r="Z71" s="36"/>
      <c r="AA71" s="20"/>
      <c r="AB71" s="36"/>
      <c r="AC71" s="20"/>
      <c r="AD71" s="36"/>
      <c r="AE71" s="20"/>
      <c r="AF71" s="36"/>
      <c r="AG71" s="20"/>
      <c r="AH71" s="49">
        <f t="shared" si="3"/>
        <v>0</v>
      </c>
      <c r="AI71" s="73">
        <f t="shared" si="3"/>
        <v>0</v>
      </c>
      <c r="AJ71" s="51"/>
      <c r="AK71" s="51"/>
      <c r="AL71" s="51"/>
      <c r="AM71" s="52"/>
      <c r="AN71" s="51"/>
      <c r="AO71" s="51"/>
    </row>
    <row r="72" spans="1:41">
      <c r="A72" s="54" t="s">
        <v>28</v>
      </c>
      <c r="B72" s="58">
        <v>100</v>
      </c>
      <c r="C72" s="48" t="s">
        <v>29</v>
      </c>
      <c r="D72" s="55" t="s">
        <v>35</v>
      </c>
      <c r="E72" s="53">
        <v>2015</v>
      </c>
      <c r="F72" s="55"/>
      <c r="G72" s="55"/>
      <c r="H72" s="55"/>
      <c r="I72" s="56"/>
      <c r="J72" s="57"/>
      <c r="K72" s="20"/>
      <c r="L72" s="69"/>
      <c r="M72" s="25"/>
      <c r="N72" s="57"/>
      <c r="O72" s="20"/>
      <c r="P72" s="69"/>
      <c r="Q72" s="25"/>
      <c r="R72" s="57"/>
      <c r="S72" s="20"/>
      <c r="T72" s="69"/>
      <c r="U72" s="25"/>
      <c r="V72" s="57"/>
      <c r="W72" s="20"/>
      <c r="X72" s="36"/>
      <c r="Y72" s="20"/>
      <c r="Z72" s="36"/>
      <c r="AA72" s="20"/>
      <c r="AB72" s="36"/>
      <c r="AC72" s="20"/>
      <c r="AD72" s="36"/>
      <c r="AE72" s="20"/>
      <c r="AF72" s="36"/>
      <c r="AG72" s="20"/>
      <c r="AH72" s="49">
        <f t="shared" si="3"/>
        <v>0</v>
      </c>
      <c r="AI72" s="73">
        <f t="shared" si="3"/>
        <v>0</v>
      </c>
      <c r="AJ72" s="51"/>
      <c r="AK72" s="51"/>
      <c r="AL72" s="51"/>
      <c r="AM72" s="52"/>
      <c r="AN72" s="51"/>
      <c r="AO72" s="51"/>
    </row>
    <row r="73" spans="1:41">
      <c r="A73" s="54" t="s">
        <v>28</v>
      </c>
      <c r="B73" s="58">
        <v>100</v>
      </c>
      <c r="C73" s="48" t="s">
        <v>29</v>
      </c>
      <c r="D73" s="55" t="s">
        <v>35</v>
      </c>
      <c r="E73" s="53">
        <v>2015</v>
      </c>
      <c r="F73" s="55"/>
      <c r="G73" s="55"/>
      <c r="H73" s="55"/>
      <c r="I73" s="56"/>
      <c r="J73" s="57"/>
      <c r="K73" s="20"/>
      <c r="L73" s="69"/>
      <c r="M73" s="25"/>
      <c r="N73" s="57"/>
      <c r="O73" s="20"/>
      <c r="P73" s="69"/>
      <c r="Q73" s="25"/>
      <c r="R73" s="57"/>
      <c r="S73" s="20"/>
      <c r="T73" s="69"/>
      <c r="U73" s="25"/>
      <c r="V73" s="57"/>
      <c r="W73" s="20"/>
      <c r="X73" s="36"/>
      <c r="Y73" s="20"/>
      <c r="Z73" s="36"/>
      <c r="AA73" s="20"/>
      <c r="AB73" s="36"/>
      <c r="AC73" s="20"/>
      <c r="AD73" s="36"/>
      <c r="AE73" s="20"/>
      <c r="AF73" s="36"/>
      <c r="AG73" s="20"/>
      <c r="AH73" s="49">
        <f t="shared" si="3"/>
        <v>0</v>
      </c>
      <c r="AI73" s="73">
        <f t="shared" si="3"/>
        <v>0</v>
      </c>
      <c r="AJ73" s="51"/>
      <c r="AK73" s="51"/>
      <c r="AL73" s="51"/>
      <c r="AM73" s="52"/>
      <c r="AN73" s="51"/>
      <c r="AO73" s="51"/>
    </row>
    <row r="74" spans="1:41">
      <c r="A74" s="54" t="s">
        <v>28</v>
      </c>
      <c r="B74" s="58">
        <v>100</v>
      </c>
      <c r="C74" s="48" t="s">
        <v>29</v>
      </c>
      <c r="D74" s="55" t="s">
        <v>35</v>
      </c>
      <c r="E74" s="53">
        <v>2015</v>
      </c>
      <c r="F74" s="55"/>
      <c r="G74" s="55"/>
      <c r="H74" s="55"/>
      <c r="I74" s="56"/>
      <c r="J74" s="57"/>
      <c r="K74" s="20"/>
      <c r="L74" s="69"/>
      <c r="M74" s="25"/>
      <c r="N74" s="57"/>
      <c r="O74" s="20"/>
      <c r="P74" s="69"/>
      <c r="Q74" s="25"/>
      <c r="R74" s="57"/>
      <c r="S74" s="20"/>
      <c r="T74" s="69"/>
      <c r="U74" s="25"/>
      <c r="V74" s="57"/>
      <c r="W74" s="20"/>
      <c r="X74" s="36"/>
      <c r="Y74" s="20"/>
      <c r="Z74" s="36"/>
      <c r="AA74" s="20"/>
      <c r="AB74" s="36"/>
      <c r="AC74" s="20"/>
      <c r="AD74" s="36"/>
      <c r="AE74" s="20"/>
      <c r="AF74" s="36"/>
      <c r="AG74" s="20"/>
      <c r="AH74" s="49">
        <f t="shared" si="3"/>
        <v>0</v>
      </c>
      <c r="AI74" s="73">
        <f t="shared" si="3"/>
        <v>0</v>
      </c>
      <c r="AJ74" s="51"/>
      <c r="AK74" s="51"/>
      <c r="AL74" s="51"/>
      <c r="AM74" s="52"/>
      <c r="AN74" s="51"/>
      <c r="AO74" s="51"/>
    </row>
    <row r="75" spans="1:41">
      <c r="A75" s="54" t="s">
        <v>28</v>
      </c>
      <c r="B75" s="58">
        <v>100</v>
      </c>
      <c r="C75" s="48" t="s">
        <v>29</v>
      </c>
      <c r="D75" s="55" t="s">
        <v>35</v>
      </c>
      <c r="E75" s="53">
        <v>2015</v>
      </c>
      <c r="F75" s="55"/>
      <c r="G75" s="55"/>
      <c r="H75" s="55"/>
      <c r="I75" s="56"/>
      <c r="J75" s="57"/>
      <c r="K75" s="20"/>
      <c r="L75" s="69"/>
      <c r="M75" s="25"/>
      <c r="N75" s="57"/>
      <c r="O75" s="20"/>
      <c r="P75" s="69"/>
      <c r="Q75" s="25"/>
      <c r="R75" s="57"/>
      <c r="S75" s="20"/>
      <c r="T75" s="69"/>
      <c r="U75" s="25"/>
      <c r="V75" s="57"/>
      <c r="W75" s="20"/>
      <c r="X75" s="36"/>
      <c r="Y75" s="20"/>
      <c r="Z75" s="36"/>
      <c r="AA75" s="20"/>
      <c r="AB75" s="36"/>
      <c r="AC75" s="20"/>
      <c r="AD75" s="36"/>
      <c r="AE75" s="20"/>
      <c r="AF75" s="36"/>
      <c r="AG75" s="20"/>
      <c r="AH75" s="49">
        <f t="shared" si="3"/>
        <v>0</v>
      </c>
      <c r="AI75" s="73">
        <f t="shared" si="3"/>
        <v>0</v>
      </c>
      <c r="AJ75" s="51"/>
      <c r="AK75" s="51"/>
      <c r="AL75" s="51"/>
      <c r="AM75" s="52"/>
      <c r="AN75" s="51"/>
      <c r="AO75" s="51"/>
    </row>
    <row r="76" spans="1:41">
      <c r="A76" s="54" t="s">
        <v>28</v>
      </c>
      <c r="B76" s="58">
        <v>100</v>
      </c>
      <c r="C76" s="48" t="s">
        <v>29</v>
      </c>
      <c r="D76" s="55" t="s">
        <v>35</v>
      </c>
      <c r="E76" s="53">
        <v>2015</v>
      </c>
      <c r="F76" s="55"/>
      <c r="G76" s="55"/>
      <c r="H76" s="55"/>
      <c r="I76" s="56"/>
      <c r="J76" s="57"/>
      <c r="K76" s="20"/>
      <c r="L76" s="69"/>
      <c r="M76" s="25"/>
      <c r="N76" s="57"/>
      <c r="O76" s="20"/>
      <c r="P76" s="69"/>
      <c r="Q76" s="25"/>
      <c r="R76" s="57"/>
      <c r="S76" s="20"/>
      <c r="T76" s="69"/>
      <c r="U76" s="25"/>
      <c r="V76" s="57"/>
      <c r="W76" s="20"/>
      <c r="X76" s="36"/>
      <c r="Y76" s="20"/>
      <c r="Z76" s="36"/>
      <c r="AA76" s="20"/>
      <c r="AB76" s="36"/>
      <c r="AC76" s="20"/>
      <c r="AD76" s="36"/>
      <c r="AE76" s="20"/>
      <c r="AF76" s="36"/>
      <c r="AG76" s="20"/>
      <c r="AH76" s="49">
        <f t="shared" si="3"/>
        <v>0</v>
      </c>
      <c r="AI76" s="73">
        <f t="shared" si="3"/>
        <v>0</v>
      </c>
      <c r="AJ76" s="51"/>
      <c r="AK76" s="51"/>
      <c r="AL76" s="51"/>
      <c r="AM76" s="52"/>
      <c r="AN76" s="51"/>
      <c r="AO76" s="51"/>
    </row>
    <row r="77" spans="1:41">
      <c r="A77" s="54" t="s">
        <v>28</v>
      </c>
      <c r="B77" s="58">
        <v>100</v>
      </c>
      <c r="C77" s="48" t="s">
        <v>29</v>
      </c>
      <c r="D77" s="55" t="s">
        <v>35</v>
      </c>
      <c r="E77" s="53">
        <v>2015</v>
      </c>
      <c r="F77" s="55"/>
      <c r="G77" s="55"/>
      <c r="H77" s="55"/>
      <c r="I77" s="56"/>
      <c r="J77" s="57"/>
      <c r="K77" s="20"/>
      <c r="L77" s="69"/>
      <c r="M77" s="25"/>
      <c r="N77" s="57"/>
      <c r="O77" s="20"/>
      <c r="P77" s="69"/>
      <c r="Q77" s="25"/>
      <c r="R77" s="57"/>
      <c r="S77" s="20"/>
      <c r="T77" s="69"/>
      <c r="U77" s="25"/>
      <c r="V77" s="57"/>
      <c r="W77" s="20"/>
      <c r="X77" s="36"/>
      <c r="Y77" s="20"/>
      <c r="Z77" s="36"/>
      <c r="AA77" s="20"/>
      <c r="AB77" s="36"/>
      <c r="AC77" s="20"/>
      <c r="AD77" s="36"/>
      <c r="AE77" s="20"/>
      <c r="AF77" s="36"/>
      <c r="AG77" s="20"/>
      <c r="AH77" s="49">
        <f t="shared" si="3"/>
        <v>0</v>
      </c>
      <c r="AI77" s="73">
        <f t="shared" si="3"/>
        <v>0</v>
      </c>
      <c r="AJ77" s="51"/>
      <c r="AK77" s="51"/>
      <c r="AL77" s="51"/>
      <c r="AM77" s="52"/>
      <c r="AN77" s="51"/>
      <c r="AO77" s="51"/>
    </row>
    <row r="78" spans="1:41">
      <c r="A78" s="54" t="s">
        <v>28</v>
      </c>
      <c r="B78" s="58">
        <v>100</v>
      </c>
      <c r="C78" s="48" t="s">
        <v>29</v>
      </c>
      <c r="D78" s="55" t="s">
        <v>35</v>
      </c>
      <c r="E78" s="53">
        <v>2015</v>
      </c>
      <c r="F78" s="55"/>
      <c r="G78" s="55"/>
      <c r="H78" s="55"/>
      <c r="I78" s="56"/>
      <c r="J78" s="57"/>
      <c r="K78" s="20"/>
      <c r="L78" s="69"/>
      <c r="M78" s="25"/>
      <c r="N78" s="57"/>
      <c r="O78" s="20"/>
      <c r="P78" s="69"/>
      <c r="Q78" s="25"/>
      <c r="R78" s="57"/>
      <c r="S78" s="20"/>
      <c r="T78" s="69"/>
      <c r="U78" s="25"/>
      <c r="V78" s="57"/>
      <c r="W78" s="20"/>
      <c r="X78" s="36"/>
      <c r="Y78" s="20"/>
      <c r="Z78" s="36"/>
      <c r="AA78" s="20"/>
      <c r="AB78" s="36"/>
      <c r="AC78" s="20"/>
      <c r="AD78" s="36"/>
      <c r="AE78" s="20"/>
      <c r="AF78" s="36"/>
      <c r="AG78" s="20"/>
      <c r="AH78" s="49">
        <f t="shared" si="3"/>
        <v>0</v>
      </c>
      <c r="AI78" s="73">
        <f t="shared" si="3"/>
        <v>0</v>
      </c>
      <c r="AJ78" s="51"/>
      <c r="AK78" s="51"/>
      <c r="AL78" s="51"/>
      <c r="AM78" s="52"/>
      <c r="AN78" s="51"/>
      <c r="AO78" s="51"/>
    </row>
    <row r="79" spans="1:41">
      <c r="A79" s="54" t="s">
        <v>28</v>
      </c>
      <c r="B79" s="58">
        <v>100</v>
      </c>
      <c r="C79" s="48" t="s">
        <v>29</v>
      </c>
      <c r="D79" s="55" t="s">
        <v>35</v>
      </c>
      <c r="E79" s="53">
        <v>2015</v>
      </c>
      <c r="F79" s="55"/>
      <c r="G79" s="55"/>
      <c r="H79" s="55"/>
      <c r="I79" s="56"/>
      <c r="J79" s="57"/>
      <c r="K79" s="20"/>
      <c r="L79" s="69"/>
      <c r="M79" s="25"/>
      <c r="N79" s="57"/>
      <c r="O79" s="20"/>
      <c r="P79" s="69"/>
      <c r="Q79" s="25"/>
      <c r="R79" s="57"/>
      <c r="S79" s="20"/>
      <c r="T79" s="69"/>
      <c r="U79" s="25"/>
      <c r="V79" s="57"/>
      <c r="W79" s="20"/>
      <c r="X79" s="36"/>
      <c r="Y79" s="20"/>
      <c r="Z79" s="36"/>
      <c r="AA79" s="20"/>
      <c r="AB79" s="36"/>
      <c r="AC79" s="20"/>
      <c r="AD79" s="36"/>
      <c r="AE79" s="20"/>
      <c r="AF79" s="36"/>
      <c r="AG79" s="20"/>
      <c r="AH79" s="49">
        <f t="shared" si="3"/>
        <v>0</v>
      </c>
      <c r="AI79" s="73">
        <f t="shared" si="3"/>
        <v>0</v>
      </c>
      <c r="AJ79" s="51"/>
      <c r="AK79" s="51"/>
      <c r="AL79" s="51"/>
      <c r="AM79" s="52"/>
      <c r="AN79" s="51"/>
      <c r="AO79" s="51"/>
    </row>
    <row r="80" spans="1:41">
      <c r="A80" s="54" t="s">
        <v>28</v>
      </c>
      <c r="B80" s="58">
        <v>100</v>
      </c>
      <c r="C80" s="48" t="s">
        <v>29</v>
      </c>
      <c r="D80" s="55" t="s">
        <v>35</v>
      </c>
      <c r="E80" s="53">
        <v>2015</v>
      </c>
      <c r="F80" s="55"/>
      <c r="G80" s="55"/>
      <c r="H80" s="55"/>
      <c r="I80" s="56"/>
      <c r="J80" s="57"/>
      <c r="K80" s="20"/>
      <c r="L80" s="69"/>
      <c r="M80" s="25"/>
      <c r="N80" s="57"/>
      <c r="O80" s="20"/>
      <c r="P80" s="69"/>
      <c r="Q80" s="25"/>
      <c r="R80" s="57"/>
      <c r="S80" s="20"/>
      <c r="T80" s="69"/>
      <c r="U80" s="25"/>
      <c r="V80" s="57"/>
      <c r="W80" s="20"/>
      <c r="X80" s="36"/>
      <c r="Y80" s="20"/>
      <c r="Z80" s="36"/>
      <c r="AA80" s="20"/>
      <c r="AB80" s="36"/>
      <c r="AC80" s="20"/>
      <c r="AD80" s="36"/>
      <c r="AE80" s="20"/>
      <c r="AF80" s="36"/>
      <c r="AG80" s="20"/>
      <c r="AH80" s="49">
        <f t="shared" si="3"/>
        <v>0</v>
      </c>
      <c r="AI80" s="73">
        <f t="shared" si="3"/>
        <v>0</v>
      </c>
      <c r="AJ80" s="51"/>
      <c r="AK80" s="51"/>
      <c r="AL80" s="51"/>
      <c r="AM80" s="52"/>
      <c r="AN80" s="51"/>
      <c r="AO80" s="51"/>
    </row>
    <row r="81" spans="1:41">
      <c r="A81" s="54" t="s">
        <v>28</v>
      </c>
      <c r="B81" s="58">
        <v>100</v>
      </c>
      <c r="C81" s="48" t="s">
        <v>29</v>
      </c>
      <c r="D81" s="55" t="s">
        <v>35</v>
      </c>
      <c r="E81" s="53">
        <v>2015</v>
      </c>
      <c r="F81" s="55"/>
      <c r="G81" s="55"/>
      <c r="H81" s="55"/>
      <c r="I81" s="56"/>
      <c r="J81" s="57"/>
      <c r="K81" s="20"/>
      <c r="L81" s="69"/>
      <c r="M81" s="25"/>
      <c r="N81" s="57"/>
      <c r="O81" s="20"/>
      <c r="P81" s="69"/>
      <c r="Q81" s="25"/>
      <c r="R81" s="57"/>
      <c r="S81" s="20"/>
      <c r="T81" s="69"/>
      <c r="U81" s="25"/>
      <c r="V81" s="57"/>
      <c r="W81" s="20"/>
      <c r="X81" s="36"/>
      <c r="Y81" s="20"/>
      <c r="Z81" s="36"/>
      <c r="AA81" s="20"/>
      <c r="AB81" s="36"/>
      <c r="AC81" s="20"/>
      <c r="AD81" s="36"/>
      <c r="AE81" s="20"/>
      <c r="AF81" s="36"/>
      <c r="AG81" s="20"/>
      <c r="AH81" s="49">
        <f t="shared" si="3"/>
        <v>0</v>
      </c>
      <c r="AI81" s="73">
        <f t="shared" si="3"/>
        <v>0</v>
      </c>
      <c r="AJ81" s="51"/>
      <c r="AK81" s="51"/>
      <c r="AL81" s="51"/>
      <c r="AM81" s="52"/>
      <c r="AN81" s="51"/>
      <c r="AO81" s="51"/>
    </row>
    <row r="82" spans="1:41">
      <c r="A82" s="54" t="s">
        <v>28</v>
      </c>
      <c r="B82" s="58">
        <v>100</v>
      </c>
      <c r="C82" s="48" t="s">
        <v>29</v>
      </c>
      <c r="D82" s="55" t="s">
        <v>35</v>
      </c>
      <c r="E82" s="53">
        <v>2015</v>
      </c>
      <c r="F82" s="55"/>
      <c r="G82" s="55"/>
      <c r="H82" s="55"/>
      <c r="I82" s="56"/>
      <c r="J82" s="57"/>
      <c r="K82" s="20"/>
      <c r="L82" s="69"/>
      <c r="M82" s="25"/>
      <c r="N82" s="57"/>
      <c r="O82" s="20"/>
      <c r="P82" s="69"/>
      <c r="Q82" s="25"/>
      <c r="R82" s="57"/>
      <c r="S82" s="20"/>
      <c r="T82" s="69"/>
      <c r="U82" s="25"/>
      <c r="V82" s="57"/>
      <c r="W82" s="20"/>
      <c r="X82" s="36"/>
      <c r="Y82" s="20"/>
      <c r="Z82" s="36"/>
      <c r="AA82" s="20"/>
      <c r="AB82" s="36"/>
      <c r="AC82" s="20"/>
      <c r="AD82" s="36"/>
      <c r="AE82" s="20"/>
      <c r="AF82" s="36"/>
      <c r="AG82" s="20"/>
      <c r="AH82" s="49">
        <f t="shared" si="3"/>
        <v>0</v>
      </c>
      <c r="AI82" s="73">
        <f t="shared" si="3"/>
        <v>0</v>
      </c>
      <c r="AJ82" s="51"/>
      <c r="AK82" s="51"/>
      <c r="AL82" s="51"/>
      <c r="AM82" s="52"/>
      <c r="AN82" s="51"/>
      <c r="AO82" s="51"/>
    </row>
    <row r="83" spans="1:41">
      <c r="A83" s="54" t="s">
        <v>28</v>
      </c>
      <c r="B83" s="58">
        <v>100</v>
      </c>
      <c r="C83" s="48" t="s">
        <v>29</v>
      </c>
      <c r="D83" s="55" t="s">
        <v>35</v>
      </c>
      <c r="E83" s="53">
        <v>2015</v>
      </c>
      <c r="F83" s="55"/>
      <c r="G83" s="55"/>
      <c r="H83" s="55"/>
      <c r="I83" s="56"/>
      <c r="J83" s="57"/>
      <c r="K83" s="20"/>
      <c r="L83" s="69"/>
      <c r="M83" s="25"/>
      <c r="N83" s="57"/>
      <c r="O83" s="20"/>
      <c r="P83" s="69"/>
      <c r="Q83" s="25"/>
      <c r="R83" s="57"/>
      <c r="S83" s="20"/>
      <c r="T83" s="69"/>
      <c r="U83" s="25"/>
      <c r="V83" s="57"/>
      <c r="W83" s="20"/>
      <c r="X83" s="36"/>
      <c r="Y83" s="20"/>
      <c r="Z83" s="36"/>
      <c r="AA83" s="20"/>
      <c r="AB83" s="36"/>
      <c r="AC83" s="20"/>
      <c r="AD83" s="36"/>
      <c r="AE83" s="20"/>
      <c r="AF83" s="36"/>
      <c r="AG83" s="20"/>
      <c r="AH83" s="49">
        <f t="shared" si="3"/>
        <v>0</v>
      </c>
      <c r="AI83" s="73">
        <f t="shared" si="3"/>
        <v>0</v>
      </c>
      <c r="AJ83" s="51"/>
      <c r="AK83" s="51"/>
      <c r="AL83" s="51"/>
      <c r="AM83" s="52"/>
      <c r="AN83" s="51"/>
      <c r="AO83" s="51"/>
    </row>
    <row r="84" spans="1:41">
      <c r="A84" s="54" t="s">
        <v>28</v>
      </c>
      <c r="B84" s="58">
        <v>100</v>
      </c>
      <c r="C84" s="48" t="s">
        <v>29</v>
      </c>
      <c r="D84" s="55" t="s">
        <v>35</v>
      </c>
      <c r="E84" s="53">
        <v>2015</v>
      </c>
      <c r="F84" s="55"/>
      <c r="G84" s="55"/>
      <c r="H84" s="55"/>
      <c r="I84" s="56"/>
      <c r="J84" s="57"/>
      <c r="K84" s="20"/>
      <c r="L84" s="69"/>
      <c r="M84" s="25"/>
      <c r="N84" s="57"/>
      <c r="O84" s="20"/>
      <c r="P84" s="69"/>
      <c r="Q84" s="25"/>
      <c r="R84" s="57"/>
      <c r="S84" s="20"/>
      <c r="T84" s="69"/>
      <c r="U84" s="25"/>
      <c r="V84" s="57"/>
      <c r="W84" s="20"/>
      <c r="X84" s="36"/>
      <c r="Y84" s="20"/>
      <c r="Z84" s="36"/>
      <c r="AA84" s="20"/>
      <c r="AB84" s="36"/>
      <c r="AC84" s="20"/>
      <c r="AD84" s="36"/>
      <c r="AE84" s="20"/>
      <c r="AF84" s="36"/>
      <c r="AG84" s="20"/>
      <c r="AH84" s="49">
        <f t="shared" si="3"/>
        <v>0</v>
      </c>
      <c r="AI84" s="73">
        <f t="shared" si="3"/>
        <v>0</v>
      </c>
      <c r="AJ84" s="51"/>
      <c r="AK84" s="51"/>
      <c r="AL84" s="51"/>
      <c r="AM84" s="52"/>
      <c r="AN84" s="51"/>
      <c r="AO84" s="51"/>
    </row>
    <row r="85" spans="1:41">
      <c r="A85" s="54" t="s">
        <v>28</v>
      </c>
      <c r="B85" s="58">
        <v>100</v>
      </c>
      <c r="C85" s="48" t="s">
        <v>29</v>
      </c>
      <c r="D85" s="55" t="s">
        <v>35</v>
      </c>
      <c r="E85" s="53">
        <v>2015</v>
      </c>
      <c r="F85" s="55"/>
      <c r="G85" s="55"/>
      <c r="H85" s="55"/>
      <c r="I85" s="56"/>
      <c r="J85" s="57"/>
      <c r="K85" s="20"/>
      <c r="L85" s="69"/>
      <c r="M85" s="25"/>
      <c r="N85" s="57"/>
      <c r="O85" s="20"/>
      <c r="P85" s="69"/>
      <c r="Q85" s="25"/>
      <c r="R85" s="57"/>
      <c r="S85" s="20"/>
      <c r="T85" s="69"/>
      <c r="U85" s="25"/>
      <c r="V85" s="57"/>
      <c r="W85" s="20"/>
      <c r="X85" s="36"/>
      <c r="Y85" s="20"/>
      <c r="Z85" s="36"/>
      <c r="AA85" s="20"/>
      <c r="AB85" s="36"/>
      <c r="AC85" s="20"/>
      <c r="AD85" s="36"/>
      <c r="AE85" s="20"/>
      <c r="AF85" s="36"/>
      <c r="AG85" s="20"/>
      <c r="AH85" s="49">
        <f t="shared" si="3"/>
        <v>0</v>
      </c>
      <c r="AI85" s="73">
        <f t="shared" si="3"/>
        <v>0</v>
      </c>
      <c r="AJ85" s="51"/>
      <c r="AK85" s="51"/>
      <c r="AL85" s="51"/>
      <c r="AM85" s="52"/>
      <c r="AN85" s="51"/>
      <c r="AO85" s="51"/>
    </row>
    <row r="86" spans="1:41">
      <c r="A86" s="54" t="s">
        <v>28</v>
      </c>
      <c r="B86" s="58">
        <v>100</v>
      </c>
      <c r="C86" s="48" t="s">
        <v>29</v>
      </c>
      <c r="D86" s="55" t="s">
        <v>35</v>
      </c>
      <c r="E86" s="53">
        <v>2015</v>
      </c>
      <c r="F86" s="55"/>
      <c r="G86" s="55"/>
      <c r="H86" s="55"/>
      <c r="I86" s="56"/>
      <c r="J86" s="57"/>
      <c r="K86" s="20"/>
      <c r="L86" s="69"/>
      <c r="M86" s="25"/>
      <c r="N86" s="57"/>
      <c r="O86" s="20"/>
      <c r="P86" s="69"/>
      <c r="Q86" s="25"/>
      <c r="R86" s="57"/>
      <c r="S86" s="20"/>
      <c r="T86" s="69"/>
      <c r="U86" s="25"/>
      <c r="V86" s="57"/>
      <c r="W86" s="20"/>
      <c r="X86" s="36"/>
      <c r="Y86" s="20"/>
      <c r="Z86" s="36"/>
      <c r="AA86" s="20"/>
      <c r="AB86" s="36"/>
      <c r="AC86" s="20"/>
      <c r="AD86" s="36"/>
      <c r="AE86" s="20"/>
      <c r="AF86" s="36"/>
      <c r="AG86" s="20"/>
      <c r="AH86" s="49">
        <f t="shared" si="3"/>
        <v>0</v>
      </c>
      <c r="AI86" s="73">
        <f t="shared" si="3"/>
        <v>0</v>
      </c>
      <c r="AJ86" s="51"/>
      <c r="AK86" s="51"/>
      <c r="AL86" s="51"/>
      <c r="AM86" s="52"/>
      <c r="AN86" s="51"/>
      <c r="AO86" s="51"/>
    </row>
    <row r="87" spans="1:41">
      <c r="A87" s="54" t="s">
        <v>28</v>
      </c>
      <c r="B87" s="58">
        <v>100</v>
      </c>
      <c r="C87" s="48" t="s">
        <v>29</v>
      </c>
      <c r="D87" s="55" t="s">
        <v>35</v>
      </c>
      <c r="E87" s="53">
        <v>2015</v>
      </c>
      <c r="F87" s="55"/>
      <c r="G87" s="55"/>
      <c r="H87" s="55"/>
      <c r="I87" s="56"/>
      <c r="J87" s="57"/>
      <c r="K87" s="20"/>
      <c r="L87" s="69"/>
      <c r="M87" s="25"/>
      <c r="N87" s="57"/>
      <c r="O87" s="20"/>
      <c r="P87" s="69"/>
      <c r="Q87" s="25"/>
      <c r="R87" s="57"/>
      <c r="S87" s="20"/>
      <c r="T87" s="69"/>
      <c r="U87" s="25"/>
      <c r="V87" s="57"/>
      <c r="W87" s="20"/>
      <c r="X87" s="36"/>
      <c r="Y87" s="20"/>
      <c r="Z87" s="36"/>
      <c r="AA87" s="20"/>
      <c r="AB87" s="36"/>
      <c r="AC87" s="20"/>
      <c r="AD87" s="36"/>
      <c r="AE87" s="20"/>
      <c r="AF87" s="36"/>
      <c r="AG87" s="20"/>
      <c r="AH87" s="49">
        <f t="shared" si="3"/>
        <v>0</v>
      </c>
      <c r="AI87" s="73">
        <f t="shared" si="3"/>
        <v>0</v>
      </c>
      <c r="AJ87" s="51"/>
      <c r="AK87" s="51"/>
      <c r="AL87" s="51"/>
      <c r="AM87" s="52"/>
      <c r="AN87" s="51"/>
      <c r="AO87" s="51"/>
    </row>
    <row r="88" spans="1:41">
      <c r="A88" s="54" t="s">
        <v>28</v>
      </c>
      <c r="B88" s="58">
        <v>100</v>
      </c>
      <c r="C88" s="48" t="s">
        <v>29</v>
      </c>
      <c r="D88" s="55" t="s">
        <v>35</v>
      </c>
      <c r="E88" s="53">
        <v>2015</v>
      </c>
      <c r="F88" s="55"/>
      <c r="G88" s="55"/>
      <c r="H88" s="55"/>
      <c r="I88" s="56"/>
      <c r="J88" s="57"/>
      <c r="K88" s="20"/>
      <c r="L88" s="69"/>
      <c r="M88" s="25"/>
      <c r="N88" s="57"/>
      <c r="O88" s="20"/>
      <c r="P88" s="69"/>
      <c r="Q88" s="25"/>
      <c r="R88" s="57"/>
      <c r="S88" s="20"/>
      <c r="T88" s="69"/>
      <c r="U88" s="25"/>
      <c r="V88" s="57"/>
      <c r="W88" s="20"/>
      <c r="X88" s="36"/>
      <c r="Y88" s="20"/>
      <c r="Z88" s="36"/>
      <c r="AA88" s="20"/>
      <c r="AB88" s="36"/>
      <c r="AC88" s="20"/>
      <c r="AD88" s="36"/>
      <c r="AE88" s="20"/>
      <c r="AF88" s="36"/>
      <c r="AG88" s="20"/>
      <c r="AH88" s="49">
        <f t="shared" si="3"/>
        <v>0</v>
      </c>
      <c r="AI88" s="73">
        <f t="shared" si="3"/>
        <v>0</v>
      </c>
      <c r="AJ88" s="51"/>
      <c r="AK88" s="51"/>
      <c r="AL88" s="51"/>
      <c r="AM88" s="52"/>
      <c r="AN88" s="51"/>
      <c r="AO88" s="51"/>
    </row>
    <row r="89" spans="1:41">
      <c r="A89" s="54" t="s">
        <v>28</v>
      </c>
      <c r="B89" s="58">
        <v>100</v>
      </c>
      <c r="C89" s="48" t="s">
        <v>29</v>
      </c>
      <c r="D89" s="55" t="s">
        <v>35</v>
      </c>
      <c r="E89" s="53">
        <v>2015</v>
      </c>
      <c r="F89" s="55"/>
      <c r="G89" s="55"/>
      <c r="H89" s="55"/>
      <c r="I89" s="56"/>
      <c r="J89" s="57"/>
      <c r="K89" s="20"/>
      <c r="L89" s="69"/>
      <c r="M89" s="25"/>
      <c r="N89" s="57"/>
      <c r="O89" s="20"/>
      <c r="P89" s="69"/>
      <c r="Q89" s="25"/>
      <c r="R89" s="57"/>
      <c r="S89" s="20"/>
      <c r="T89" s="69"/>
      <c r="U89" s="25"/>
      <c r="V89" s="57"/>
      <c r="W89" s="20"/>
      <c r="X89" s="36"/>
      <c r="Y89" s="20"/>
      <c r="Z89" s="36"/>
      <c r="AA89" s="20"/>
      <c r="AB89" s="36"/>
      <c r="AC89" s="20"/>
      <c r="AD89" s="36"/>
      <c r="AE89" s="20"/>
      <c r="AF89" s="36"/>
      <c r="AG89" s="20"/>
      <c r="AH89" s="49">
        <f t="shared" si="3"/>
        <v>0</v>
      </c>
      <c r="AI89" s="73">
        <f t="shared" si="3"/>
        <v>0</v>
      </c>
      <c r="AJ89" s="51"/>
      <c r="AK89" s="51"/>
      <c r="AL89" s="51"/>
      <c r="AM89" s="52"/>
      <c r="AN89" s="51"/>
      <c r="AO89" s="51"/>
    </row>
    <row r="90" spans="1:41">
      <c r="A90" s="54" t="s">
        <v>28</v>
      </c>
      <c r="B90" s="58">
        <v>100</v>
      </c>
      <c r="C90" s="48" t="s">
        <v>29</v>
      </c>
      <c r="D90" s="55" t="s">
        <v>35</v>
      </c>
      <c r="E90" s="53">
        <v>2015</v>
      </c>
      <c r="F90" s="55"/>
      <c r="G90" s="55"/>
      <c r="H90" s="55"/>
      <c r="I90" s="56"/>
      <c r="J90" s="57"/>
      <c r="K90" s="20"/>
      <c r="L90" s="69"/>
      <c r="M90" s="25"/>
      <c r="N90" s="57"/>
      <c r="O90" s="20"/>
      <c r="P90" s="69"/>
      <c r="Q90" s="25"/>
      <c r="R90" s="57"/>
      <c r="S90" s="20"/>
      <c r="T90" s="69"/>
      <c r="U90" s="25"/>
      <c r="V90" s="57"/>
      <c r="W90" s="20"/>
      <c r="X90" s="36"/>
      <c r="Y90" s="20"/>
      <c r="Z90" s="36"/>
      <c r="AA90" s="20"/>
      <c r="AB90" s="36"/>
      <c r="AC90" s="20"/>
      <c r="AD90" s="36"/>
      <c r="AE90" s="20"/>
      <c r="AF90" s="36"/>
      <c r="AG90" s="20"/>
      <c r="AH90" s="49">
        <f t="shared" si="3"/>
        <v>0</v>
      </c>
      <c r="AI90" s="73">
        <f t="shared" si="3"/>
        <v>0</v>
      </c>
      <c r="AJ90" s="51"/>
      <c r="AK90" s="51"/>
      <c r="AL90" s="51"/>
      <c r="AM90" s="52"/>
      <c r="AN90" s="51"/>
      <c r="AO90" s="51"/>
    </row>
    <row r="91" spans="1:41">
      <c r="A91" s="54" t="s">
        <v>28</v>
      </c>
      <c r="B91" s="58">
        <v>100</v>
      </c>
      <c r="C91" s="48" t="s">
        <v>29</v>
      </c>
      <c r="D91" s="55" t="s">
        <v>35</v>
      </c>
      <c r="E91" s="53">
        <v>2015</v>
      </c>
      <c r="F91" s="55"/>
      <c r="G91" s="55"/>
      <c r="H91" s="55"/>
      <c r="I91" s="56"/>
      <c r="J91" s="57"/>
      <c r="K91" s="20"/>
      <c r="L91" s="69"/>
      <c r="M91" s="25"/>
      <c r="N91" s="57"/>
      <c r="O91" s="20"/>
      <c r="P91" s="69"/>
      <c r="Q91" s="25"/>
      <c r="R91" s="57"/>
      <c r="S91" s="20"/>
      <c r="T91" s="69"/>
      <c r="U91" s="25"/>
      <c r="V91" s="57"/>
      <c r="W91" s="20"/>
      <c r="X91" s="36"/>
      <c r="Y91" s="20"/>
      <c r="Z91" s="36"/>
      <c r="AA91" s="20"/>
      <c r="AB91" s="36"/>
      <c r="AC91" s="20"/>
      <c r="AD91" s="36"/>
      <c r="AE91" s="20"/>
      <c r="AF91" s="36"/>
      <c r="AG91" s="20"/>
      <c r="AH91" s="49">
        <f t="shared" si="3"/>
        <v>0</v>
      </c>
      <c r="AI91" s="73">
        <f t="shared" si="3"/>
        <v>0</v>
      </c>
      <c r="AJ91" s="51"/>
      <c r="AK91" s="51"/>
      <c r="AL91" s="51"/>
      <c r="AM91" s="52"/>
      <c r="AN91" s="51"/>
      <c r="AO91" s="51"/>
    </row>
    <row r="92" spans="1:41">
      <c r="A92" s="54" t="s">
        <v>28</v>
      </c>
      <c r="B92" s="58">
        <v>100</v>
      </c>
      <c r="C92" s="48" t="s">
        <v>29</v>
      </c>
      <c r="D92" s="55" t="s">
        <v>35</v>
      </c>
      <c r="E92" s="53">
        <v>2015</v>
      </c>
      <c r="F92" s="55"/>
      <c r="G92" s="55"/>
      <c r="H92" s="55"/>
      <c r="I92" s="56"/>
      <c r="J92" s="57"/>
      <c r="K92" s="20"/>
      <c r="L92" s="69"/>
      <c r="M92" s="25"/>
      <c r="N92" s="57"/>
      <c r="O92" s="20"/>
      <c r="P92" s="69"/>
      <c r="Q92" s="25"/>
      <c r="R92" s="57"/>
      <c r="S92" s="20"/>
      <c r="T92" s="69"/>
      <c r="U92" s="25"/>
      <c r="V92" s="57"/>
      <c r="W92" s="20"/>
      <c r="X92" s="36"/>
      <c r="Y92" s="20"/>
      <c r="Z92" s="36"/>
      <c r="AA92" s="20"/>
      <c r="AB92" s="36"/>
      <c r="AC92" s="20"/>
      <c r="AD92" s="36"/>
      <c r="AE92" s="20"/>
      <c r="AF92" s="36"/>
      <c r="AG92" s="20"/>
      <c r="AH92" s="49">
        <f t="shared" si="3"/>
        <v>0</v>
      </c>
      <c r="AI92" s="73">
        <f t="shared" si="3"/>
        <v>0</v>
      </c>
      <c r="AJ92" s="51"/>
      <c r="AK92" s="51"/>
      <c r="AL92" s="51"/>
      <c r="AM92" s="52"/>
      <c r="AN92" s="51"/>
      <c r="AO92" s="51"/>
    </row>
    <row r="93" spans="1:41">
      <c r="A93" s="54" t="s">
        <v>28</v>
      </c>
      <c r="B93" s="58">
        <v>100</v>
      </c>
      <c r="C93" s="48" t="s">
        <v>29</v>
      </c>
      <c r="D93" s="55" t="s">
        <v>35</v>
      </c>
      <c r="E93" s="53">
        <v>2015</v>
      </c>
      <c r="F93" s="55"/>
      <c r="G93" s="55"/>
      <c r="H93" s="55"/>
      <c r="I93" s="56"/>
      <c r="J93" s="57"/>
      <c r="K93" s="20"/>
      <c r="L93" s="69"/>
      <c r="M93" s="25"/>
      <c r="N93" s="57"/>
      <c r="O93" s="20"/>
      <c r="P93" s="69"/>
      <c r="Q93" s="25"/>
      <c r="R93" s="57"/>
      <c r="S93" s="20"/>
      <c r="T93" s="69"/>
      <c r="U93" s="25"/>
      <c r="V93" s="57"/>
      <c r="W93" s="20"/>
      <c r="X93" s="36"/>
      <c r="Y93" s="20"/>
      <c r="Z93" s="36"/>
      <c r="AA93" s="20"/>
      <c r="AB93" s="36"/>
      <c r="AC93" s="20"/>
      <c r="AD93" s="36"/>
      <c r="AE93" s="20"/>
      <c r="AF93" s="36"/>
      <c r="AG93" s="20"/>
      <c r="AH93" s="49">
        <f t="shared" si="3"/>
        <v>0</v>
      </c>
      <c r="AI93" s="73">
        <f t="shared" si="3"/>
        <v>0</v>
      </c>
      <c r="AJ93" s="51"/>
      <c r="AK93" s="51"/>
      <c r="AL93" s="51"/>
      <c r="AM93" s="52"/>
      <c r="AN93" s="51"/>
      <c r="AO93" s="51"/>
    </row>
    <row r="94" spans="1:41">
      <c r="A94" s="54" t="s">
        <v>28</v>
      </c>
      <c r="B94" s="58">
        <v>100</v>
      </c>
      <c r="C94" s="48" t="s">
        <v>29</v>
      </c>
      <c r="D94" s="55" t="s">
        <v>35</v>
      </c>
      <c r="E94" s="53">
        <v>2015</v>
      </c>
      <c r="F94" s="55"/>
      <c r="G94" s="55"/>
      <c r="H94" s="55"/>
      <c r="I94" s="56"/>
      <c r="J94" s="57"/>
      <c r="K94" s="20"/>
      <c r="L94" s="69"/>
      <c r="M94" s="25"/>
      <c r="N94" s="57"/>
      <c r="O94" s="20"/>
      <c r="P94" s="69"/>
      <c r="Q94" s="25"/>
      <c r="R94" s="57"/>
      <c r="S94" s="20"/>
      <c r="T94" s="69"/>
      <c r="U94" s="25"/>
      <c r="V94" s="57"/>
      <c r="W94" s="20"/>
      <c r="X94" s="36"/>
      <c r="Y94" s="20"/>
      <c r="Z94" s="36"/>
      <c r="AA94" s="20"/>
      <c r="AB94" s="36"/>
      <c r="AC94" s="20"/>
      <c r="AD94" s="36"/>
      <c r="AE94" s="20"/>
      <c r="AF94" s="36"/>
      <c r="AG94" s="20"/>
      <c r="AH94" s="49">
        <f t="shared" si="3"/>
        <v>0</v>
      </c>
      <c r="AI94" s="73">
        <f t="shared" si="3"/>
        <v>0</v>
      </c>
      <c r="AJ94" s="51"/>
      <c r="AK94" s="51"/>
      <c r="AL94" s="51"/>
      <c r="AM94" s="52"/>
      <c r="AN94" s="51"/>
      <c r="AO94" s="51"/>
    </row>
    <row r="95" spans="1:41">
      <c r="A95" s="54" t="s">
        <v>28</v>
      </c>
      <c r="B95" s="58">
        <v>100</v>
      </c>
      <c r="C95" s="48" t="s">
        <v>29</v>
      </c>
      <c r="D95" s="55" t="s">
        <v>35</v>
      </c>
      <c r="E95" s="53">
        <v>2015</v>
      </c>
      <c r="F95" s="55"/>
      <c r="G95" s="55"/>
      <c r="H95" s="55"/>
      <c r="I95" s="56"/>
      <c r="J95" s="57"/>
      <c r="K95" s="20"/>
      <c r="L95" s="69"/>
      <c r="M95" s="25"/>
      <c r="N95" s="57"/>
      <c r="O95" s="20"/>
      <c r="P95" s="69"/>
      <c r="Q95" s="25"/>
      <c r="R95" s="57"/>
      <c r="S95" s="20"/>
      <c r="T95" s="69"/>
      <c r="U95" s="25"/>
      <c r="V95" s="57"/>
      <c r="W95" s="20"/>
      <c r="X95" s="36"/>
      <c r="Y95" s="20"/>
      <c r="Z95" s="36"/>
      <c r="AA95" s="20"/>
      <c r="AB95" s="36"/>
      <c r="AC95" s="20"/>
      <c r="AD95" s="36"/>
      <c r="AE95" s="20"/>
      <c r="AF95" s="36"/>
      <c r="AG95" s="20"/>
      <c r="AH95" s="49">
        <f t="shared" si="3"/>
        <v>0</v>
      </c>
      <c r="AI95" s="73">
        <f t="shared" si="3"/>
        <v>0</v>
      </c>
      <c r="AJ95" s="51"/>
      <c r="AK95" s="51"/>
      <c r="AL95" s="51"/>
      <c r="AM95" s="52"/>
      <c r="AN95" s="51"/>
      <c r="AO95" s="51"/>
    </row>
    <row r="96" spans="1:41">
      <c r="A96" s="54" t="s">
        <v>28</v>
      </c>
      <c r="B96" s="58">
        <v>100</v>
      </c>
      <c r="C96" s="48" t="s">
        <v>29</v>
      </c>
      <c r="D96" s="55" t="s">
        <v>35</v>
      </c>
      <c r="E96" s="53">
        <v>2015</v>
      </c>
      <c r="F96" s="55"/>
      <c r="G96" s="55"/>
      <c r="H96" s="55"/>
      <c r="I96" s="56"/>
      <c r="J96" s="57"/>
      <c r="K96" s="20"/>
      <c r="L96" s="69"/>
      <c r="M96" s="25"/>
      <c r="N96" s="57"/>
      <c r="O96" s="20"/>
      <c r="P96" s="69"/>
      <c r="Q96" s="25"/>
      <c r="R96" s="57"/>
      <c r="S96" s="20"/>
      <c r="T96" s="69"/>
      <c r="U96" s="25"/>
      <c r="V96" s="57"/>
      <c r="W96" s="20"/>
      <c r="X96" s="36"/>
      <c r="Y96" s="20"/>
      <c r="Z96" s="36"/>
      <c r="AA96" s="20"/>
      <c r="AB96" s="36"/>
      <c r="AC96" s="20"/>
      <c r="AD96" s="36"/>
      <c r="AE96" s="20"/>
      <c r="AF96" s="36"/>
      <c r="AG96" s="20"/>
      <c r="AH96" s="49">
        <f t="shared" si="3"/>
        <v>0</v>
      </c>
      <c r="AI96" s="73">
        <f t="shared" si="3"/>
        <v>0</v>
      </c>
      <c r="AJ96" s="51"/>
      <c r="AK96" s="51"/>
      <c r="AL96" s="51"/>
      <c r="AM96" s="52"/>
      <c r="AN96" s="51"/>
      <c r="AO96" s="51"/>
    </row>
    <row r="97" spans="1:41">
      <c r="A97" s="54" t="s">
        <v>28</v>
      </c>
      <c r="B97" s="58">
        <v>100</v>
      </c>
      <c r="C97" s="48" t="s">
        <v>29</v>
      </c>
      <c r="D97" s="55" t="s">
        <v>35</v>
      </c>
      <c r="E97" s="53">
        <v>2015</v>
      </c>
      <c r="F97" s="55"/>
      <c r="G97" s="55"/>
      <c r="H97" s="55"/>
      <c r="I97" s="56"/>
      <c r="J97" s="57"/>
      <c r="K97" s="20"/>
      <c r="L97" s="69"/>
      <c r="M97" s="25"/>
      <c r="N97" s="57"/>
      <c r="O97" s="20"/>
      <c r="P97" s="69"/>
      <c r="Q97" s="25"/>
      <c r="R97" s="57"/>
      <c r="S97" s="20"/>
      <c r="T97" s="69"/>
      <c r="U97" s="25"/>
      <c r="V97" s="57"/>
      <c r="W97" s="20"/>
      <c r="X97" s="36"/>
      <c r="Y97" s="20"/>
      <c r="Z97" s="36"/>
      <c r="AA97" s="20"/>
      <c r="AB97" s="36"/>
      <c r="AC97" s="20"/>
      <c r="AD97" s="36"/>
      <c r="AE97" s="20"/>
      <c r="AF97" s="36"/>
      <c r="AG97" s="20"/>
      <c r="AH97" s="49">
        <f t="shared" si="3"/>
        <v>0</v>
      </c>
      <c r="AI97" s="73">
        <f t="shared" si="3"/>
        <v>0</v>
      </c>
      <c r="AJ97" s="51"/>
      <c r="AK97" s="51"/>
      <c r="AL97" s="51"/>
      <c r="AM97" s="52"/>
      <c r="AN97" s="51"/>
      <c r="AO97" s="51"/>
    </row>
    <row r="98" spans="1:41">
      <c r="A98" s="54" t="s">
        <v>28</v>
      </c>
      <c r="B98" s="58">
        <v>100</v>
      </c>
      <c r="C98" s="48" t="s">
        <v>29</v>
      </c>
      <c r="D98" s="55" t="s">
        <v>35</v>
      </c>
      <c r="E98" s="53">
        <v>2015</v>
      </c>
      <c r="F98" s="55"/>
      <c r="G98" s="55"/>
      <c r="H98" s="55"/>
      <c r="I98" s="56"/>
      <c r="J98" s="57"/>
      <c r="K98" s="20"/>
      <c r="L98" s="69"/>
      <c r="M98" s="25"/>
      <c r="N98" s="57"/>
      <c r="O98" s="20"/>
      <c r="P98" s="69"/>
      <c r="Q98" s="25"/>
      <c r="R98" s="57"/>
      <c r="S98" s="20"/>
      <c r="T98" s="69"/>
      <c r="U98" s="25"/>
      <c r="V98" s="57"/>
      <c r="W98" s="20"/>
      <c r="X98" s="36"/>
      <c r="Y98" s="20"/>
      <c r="Z98" s="36"/>
      <c r="AA98" s="20"/>
      <c r="AB98" s="36"/>
      <c r="AC98" s="20"/>
      <c r="AD98" s="36"/>
      <c r="AE98" s="20"/>
      <c r="AF98" s="36"/>
      <c r="AG98" s="20"/>
      <c r="AH98" s="49">
        <f t="shared" si="3"/>
        <v>0</v>
      </c>
      <c r="AI98" s="73">
        <f t="shared" si="3"/>
        <v>0</v>
      </c>
      <c r="AJ98" s="51"/>
      <c r="AK98" s="51"/>
      <c r="AL98" s="51"/>
      <c r="AM98" s="52"/>
      <c r="AN98" s="51"/>
      <c r="AO98" s="51"/>
    </row>
    <row r="99" spans="1:41">
      <c r="A99" s="54" t="s">
        <v>28</v>
      </c>
      <c r="B99" s="58">
        <v>100</v>
      </c>
      <c r="C99" s="48" t="s">
        <v>29</v>
      </c>
      <c r="D99" s="55" t="s">
        <v>35</v>
      </c>
      <c r="E99" s="53">
        <v>2015</v>
      </c>
      <c r="F99" s="55"/>
      <c r="G99" s="55"/>
      <c r="H99" s="55"/>
      <c r="I99" s="56"/>
      <c r="J99" s="57"/>
      <c r="K99" s="20"/>
      <c r="L99" s="69"/>
      <c r="M99" s="25"/>
      <c r="N99" s="57"/>
      <c r="O99" s="20"/>
      <c r="P99" s="69"/>
      <c r="Q99" s="25"/>
      <c r="R99" s="57"/>
      <c r="S99" s="20"/>
      <c r="T99" s="69"/>
      <c r="U99" s="25"/>
      <c r="V99" s="57"/>
      <c r="W99" s="20"/>
      <c r="X99" s="36"/>
      <c r="Y99" s="20"/>
      <c r="Z99" s="36"/>
      <c r="AA99" s="20"/>
      <c r="AB99" s="36"/>
      <c r="AC99" s="20"/>
      <c r="AD99" s="36"/>
      <c r="AE99" s="20"/>
      <c r="AF99" s="36"/>
      <c r="AG99" s="20"/>
      <c r="AH99" s="49">
        <f t="shared" si="3"/>
        <v>0</v>
      </c>
      <c r="AI99" s="73">
        <f t="shared" si="3"/>
        <v>0</v>
      </c>
      <c r="AJ99" s="51"/>
      <c r="AK99" s="51"/>
      <c r="AL99" s="51"/>
      <c r="AM99" s="52"/>
      <c r="AN99" s="51"/>
      <c r="AO99" s="51"/>
    </row>
    <row r="100" spans="1:41">
      <c r="A100" s="54" t="s">
        <v>28</v>
      </c>
      <c r="B100" s="58">
        <v>100</v>
      </c>
      <c r="C100" s="48" t="s">
        <v>29</v>
      </c>
      <c r="D100" s="55" t="s">
        <v>35</v>
      </c>
      <c r="E100" s="53">
        <v>2015</v>
      </c>
      <c r="F100" s="55"/>
      <c r="G100" s="55"/>
      <c r="H100" s="55"/>
      <c r="I100" s="56"/>
      <c r="J100" s="57"/>
      <c r="K100" s="20"/>
      <c r="L100" s="69"/>
      <c r="M100" s="25"/>
      <c r="N100" s="57"/>
      <c r="O100" s="20"/>
      <c r="P100" s="69"/>
      <c r="Q100" s="25"/>
      <c r="R100" s="57"/>
      <c r="S100" s="20"/>
      <c r="T100" s="69"/>
      <c r="U100" s="25"/>
      <c r="V100" s="57"/>
      <c r="W100" s="20"/>
      <c r="X100" s="36"/>
      <c r="Y100" s="20"/>
      <c r="Z100" s="36"/>
      <c r="AA100" s="20"/>
      <c r="AB100" s="36"/>
      <c r="AC100" s="20"/>
      <c r="AD100" s="36"/>
      <c r="AE100" s="20"/>
      <c r="AF100" s="36"/>
      <c r="AG100" s="20"/>
      <c r="AH100" s="49">
        <f t="shared" si="3"/>
        <v>0</v>
      </c>
      <c r="AI100" s="73">
        <f t="shared" si="3"/>
        <v>0</v>
      </c>
      <c r="AJ100" s="51"/>
      <c r="AK100" s="51"/>
      <c r="AL100" s="51"/>
      <c r="AM100" s="52"/>
      <c r="AN100" s="51"/>
      <c r="AO100" s="51"/>
    </row>
    <row r="101" spans="1:41">
      <c r="A101" s="54" t="s">
        <v>28</v>
      </c>
      <c r="B101" s="58">
        <v>100</v>
      </c>
      <c r="C101" s="48" t="s">
        <v>29</v>
      </c>
      <c r="D101" s="55" t="s">
        <v>35</v>
      </c>
      <c r="E101" s="53">
        <v>2015</v>
      </c>
      <c r="F101" s="55"/>
      <c r="G101" s="55"/>
      <c r="H101" s="55"/>
      <c r="I101" s="56"/>
      <c r="J101" s="57"/>
      <c r="K101" s="20"/>
      <c r="L101" s="69"/>
      <c r="M101" s="25"/>
      <c r="N101" s="57"/>
      <c r="O101" s="20"/>
      <c r="P101" s="69"/>
      <c r="Q101" s="25"/>
      <c r="R101" s="57"/>
      <c r="S101" s="20"/>
      <c r="T101" s="69"/>
      <c r="U101" s="25"/>
      <c r="V101" s="57"/>
      <c r="W101" s="20"/>
      <c r="X101" s="36"/>
      <c r="Y101" s="20"/>
      <c r="Z101" s="36"/>
      <c r="AA101" s="20"/>
      <c r="AB101" s="36"/>
      <c r="AC101" s="20"/>
      <c r="AD101" s="36"/>
      <c r="AE101" s="20"/>
      <c r="AF101" s="36"/>
      <c r="AG101" s="20"/>
      <c r="AH101" s="49">
        <f t="shared" si="3"/>
        <v>0</v>
      </c>
      <c r="AI101" s="73">
        <f t="shared" si="3"/>
        <v>0</v>
      </c>
      <c r="AJ101" s="51"/>
      <c r="AK101" s="51"/>
      <c r="AL101" s="51"/>
      <c r="AM101" s="52"/>
      <c r="AN101" s="51"/>
      <c r="AO101" s="51"/>
    </row>
    <row r="102" spans="1:41">
      <c r="A102" s="54" t="s">
        <v>28</v>
      </c>
      <c r="B102" s="58">
        <v>100</v>
      </c>
      <c r="C102" s="48" t="s">
        <v>29</v>
      </c>
      <c r="D102" s="55" t="s">
        <v>35</v>
      </c>
      <c r="E102" s="53">
        <v>2015</v>
      </c>
      <c r="F102" s="55"/>
      <c r="G102" s="55"/>
      <c r="H102" s="55"/>
      <c r="I102" s="56"/>
      <c r="J102" s="57"/>
      <c r="K102" s="20"/>
      <c r="L102" s="69"/>
      <c r="M102" s="25"/>
      <c r="N102" s="57"/>
      <c r="O102" s="20"/>
      <c r="P102" s="69"/>
      <c r="Q102" s="25"/>
      <c r="R102" s="57"/>
      <c r="S102" s="20"/>
      <c r="T102" s="69"/>
      <c r="U102" s="25"/>
      <c r="V102" s="57"/>
      <c r="W102" s="20"/>
      <c r="X102" s="36"/>
      <c r="Y102" s="20"/>
      <c r="Z102" s="36"/>
      <c r="AA102" s="20"/>
      <c r="AB102" s="36"/>
      <c r="AC102" s="20"/>
      <c r="AD102" s="36"/>
      <c r="AE102" s="20"/>
      <c r="AF102" s="36"/>
      <c r="AG102" s="20"/>
      <c r="AH102" s="49">
        <f t="shared" si="3"/>
        <v>0</v>
      </c>
      <c r="AI102" s="73">
        <f t="shared" si="3"/>
        <v>0</v>
      </c>
      <c r="AJ102" s="51"/>
      <c r="AK102" s="51"/>
      <c r="AL102" s="51"/>
      <c r="AM102" s="52"/>
      <c r="AN102" s="51"/>
      <c r="AO102" s="51"/>
    </row>
    <row r="103" spans="1:41">
      <c r="A103" s="54" t="s">
        <v>28</v>
      </c>
      <c r="B103" s="58">
        <v>100</v>
      </c>
      <c r="C103" s="48" t="s">
        <v>29</v>
      </c>
      <c r="D103" s="55" t="s">
        <v>35</v>
      </c>
      <c r="E103" s="53">
        <v>2015</v>
      </c>
      <c r="F103" s="55"/>
      <c r="G103" s="55"/>
      <c r="H103" s="55"/>
      <c r="I103" s="56"/>
      <c r="J103" s="57"/>
      <c r="K103" s="20"/>
      <c r="L103" s="69"/>
      <c r="M103" s="25"/>
      <c r="N103" s="57"/>
      <c r="O103" s="20"/>
      <c r="P103" s="69"/>
      <c r="Q103" s="25"/>
      <c r="R103" s="57"/>
      <c r="S103" s="20"/>
      <c r="T103" s="69"/>
      <c r="U103" s="25"/>
      <c r="V103" s="57"/>
      <c r="W103" s="20"/>
      <c r="X103" s="36"/>
      <c r="Y103" s="20"/>
      <c r="Z103" s="36"/>
      <c r="AA103" s="20"/>
      <c r="AB103" s="36"/>
      <c r="AC103" s="20"/>
      <c r="AD103" s="36"/>
      <c r="AE103" s="20"/>
      <c r="AF103" s="36"/>
      <c r="AG103" s="20"/>
      <c r="AH103" s="49">
        <f t="shared" si="3"/>
        <v>0</v>
      </c>
      <c r="AI103" s="73">
        <f t="shared" si="3"/>
        <v>0</v>
      </c>
      <c r="AJ103" s="51"/>
      <c r="AK103" s="51"/>
      <c r="AL103" s="51"/>
      <c r="AM103" s="52"/>
      <c r="AN103" s="51"/>
      <c r="AO103" s="51"/>
    </row>
    <row r="104" spans="1:41">
      <c r="A104" s="54" t="s">
        <v>28</v>
      </c>
      <c r="B104" s="58">
        <v>100</v>
      </c>
      <c r="C104" s="48" t="s">
        <v>29</v>
      </c>
      <c r="D104" s="55" t="s">
        <v>35</v>
      </c>
      <c r="E104" s="53">
        <v>2015</v>
      </c>
      <c r="F104" s="55"/>
      <c r="G104" s="55"/>
      <c r="H104" s="55"/>
      <c r="I104" s="56"/>
      <c r="J104" s="57"/>
      <c r="K104" s="20"/>
      <c r="L104" s="69"/>
      <c r="M104" s="25"/>
      <c r="N104" s="57"/>
      <c r="O104" s="20"/>
      <c r="P104" s="69"/>
      <c r="Q104" s="25"/>
      <c r="R104" s="57"/>
      <c r="S104" s="20"/>
      <c r="T104" s="69"/>
      <c r="U104" s="25"/>
      <c r="V104" s="57"/>
      <c r="W104" s="20"/>
      <c r="X104" s="36"/>
      <c r="Y104" s="20"/>
      <c r="Z104" s="36"/>
      <c r="AA104" s="20"/>
      <c r="AB104" s="36"/>
      <c r="AC104" s="20"/>
      <c r="AD104" s="36"/>
      <c r="AE104" s="20"/>
      <c r="AF104" s="36"/>
      <c r="AG104" s="20"/>
      <c r="AH104" s="49">
        <f t="shared" si="3"/>
        <v>0</v>
      </c>
      <c r="AI104" s="73">
        <f t="shared" si="3"/>
        <v>0</v>
      </c>
      <c r="AJ104" s="51"/>
      <c r="AK104" s="51"/>
      <c r="AL104" s="51"/>
      <c r="AM104" s="52"/>
      <c r="AN104" s="51"/>
      <c r="AO104" s="51"/>
    </row>
    <row r="105" spans="1:41">
      <c r="A105" s="54" t="s">
        <v>28</v>
      </c>
      <c r="B105" s="58">
        <v>100</v>
      </c>
      <c r="C105" s="48" t="s">
        <v>29</v>
      </c>
      <c r="D105" s="55" t="s">
        <v>35</v>
      </c>
      <c r="E105" s="53">
        <v>2015</v>
      </c>
      <c r="F105" s="55"/>
      <c r="G105" s="55"/>
      <c r="H105" s="55"/>
      <c r="I105" s="56"/>
      <c r="J105" s="57"/>
      <c r="K105" s="20"/>
      <c r="L105" s="69"/>
      <c r="M105" s="25"/>
      <c r="N105" s="57"/>
      <c r="O105" s="20"/>
      <c r="P105" s="69"/>
      <c r="Q105" s="25"/>
      <c r="R105" s="57"/>
      <c r="S105" s="20"/>
      <c r="T105" s="69"/>
      <c r="U105" s="25"/>
      <c r="V105" s="57"/>
      <c r="W105" s="20"/>
      <c r="X105" s="36"/>
      <c r="Y105" s="20"/>
      <c r="Z105" s="36"/>
      <c r="AA105" s="20"/>
      <c r="AB105" s="36"/>
      <c r="AC105" s="20"/>
      <c r="AD105" s="36"/>
      <c r="AE105" s="20"/>
      <c r="AF105" s="36"/>
      <c r="AG105" s="20"/>
      <c r="AH105" s="49">
        <f t="shared" si="3"/>
        <v>0</v>
      </c>
      <c r="AI105" s="73">
        <f t="shared" si="3"/>
        <v>0</v>
      </c>
      <c r="AJ105" s="51"/>
      <c r="AK105" s="51"/>
      <c r="AL105" s="51"/>
      <c r="AM105" s="52"/>
      <c r="AN105" s="51"/>
      <c r="AO105" s="51"/>
    </row>
    <row r="106" spans="1:41">
      <c r="A106" s="54" t="s">
        <v>28</v>
      </c>
      <c r="B106" s="58">
        <v>100</v>
      </c>
      <c r="C106" s="48" t="s">
        <v>29</v>
      </c>
      <c r="D106" s="55" t="s">
        <v>35</v>
      </c>
      <c r="E106" s="53">
        <v>2015</v>
      </c>
      <c r="F106" s="55"/>
      <c r="G106" s="55"/>
      <c r="H106" s="55"/>
      <c r="I106" s="56"/>
      <c r="J106" s="57"/>
      <c r="K106" s="20"/>
      <c r="L106" s="69"/>
      <c r="M106" s="25"/>
      <c r="N106" s="57"/>
      <c r="O106" s="20"/>
      <c r="P106" s="69"/>
      <c r="Q106" s="25"/>
      <c r="R106" s="57"/>
      <c r="S106" s="20"/>
      <c r="T106" s="69"/>
      <c r="U106" s="25"/>
      <c r="V106" s="57"/>
      <c r="W106" s="20"/>
      <c r="X106" s="36"/>
      <c r="Y106" s="20"/>
      <c r="Z106" s="36"/>
      <c r="AA106" s="20"/>
      <c r="AB106" s="36"/>
      <c r="AC106" s="20"/>
      <c r="AD106" s="36"/>
      <c r="AE106" s="20"/>
      <c r="AF106" s="36"/>
      <c r="AG106" s="20"/>
      <c r="AH106" s="49">
        <f t="shared" si="3"/>
        <v>0</v>
      </c>
      <c r="AI106" s="73">
        <f t="shared" si="3"/>
        <v>0</v>
      </c>
      <c r="AJ106" s="51"/>
      <c r="AK106" s="51"/>
      <c r="AL106" s="51"/>
      <c r="AM106" s="52"/>
      <c r="AN106" s="51"/>
      <c r="AO106" s="51"/>
    </row>
    <row r="107" spans="1:41">
      <c r="A107" s="54" t="s">
        <v>28</v>
      </c>
      <c r="B107" s="58">
        <v>100</v>
      </c>
      <c r="C107" s="48" t="s">
        <v>29</v>
      </c>
      <c r="D107" s="55" t="s">
        <v>35</v>
      </c>
      <c r="E107" s="53">
        <v>2015</v>
      </c>
      <c r="F107" s="55"/>
      <c r="G107" s="55"/>
      <c r="H107" s="55"/>
      <c r="I107" s="56"/>
      <c r="J107" s="57"/>
      <c r="K107" s="20"/>
      <c r="L107" s="69"/>
      <c r="M107" s="25"/>
      <c r="N107" s="57"/>
      <c r="O107" s="20"/>
      <c r="P107" s="69"/>
      <c r="Q107" s="25"/>
      <c r="R107" s="57"/>
      <c r="S107" s="20"/>
      <c r="T107" s="69"/>
      <c r="U107" s="25"/>
      <c r="V107" s="57"/>
      <c r="W107" s="20"/>
      <c r="X107" s="36"/>
      <c r="Y107" s="20"/>
      <c r="Z107" s="36"/>
      <c r="AA107" s="20"/>
      <c r="AB107" s="36"/>
      <c r="AC107" s="20"/>
      <c r="AD107" s="36"/>
      <c r="AE107" s="20"/>
      <c r="AF107" s="36"/>
      <c r="AG107" s="20"/>
      <c r="AH107" s="49">
        <f t="shared" si="3"/>
        <v>0</v>
      </c>
      <c r="AI107" s="73">
        <f t="shared" si="3"/>
        <v>0</v>
      </c>
      <c r="AJ107" s="51"/>
      <c r="AK107" s="51"/>
      <c r="AL107" s="51"/>
      <c r="AM107" s="52"/>
      <c r="AN107" s="51"/>
      <c r="AO107" s="51"/>
    </row>
    <row r="108" spans="1:41">
      <c r="A108" s="54" t="s">
        <v>28</v>
      </c>
      <c r="B108" s="58">
        <v>100</v>
      </c>
      <c r="C108" s="48" t="s">
        <v>29</v>
      </c>
      <c r="D108" s="55" t="s">
        <v>35</v>
      </c>
      <c r="E108" s="53">
        <v>2015</v>
      </c>
      <c r="F108" s="55"/>
      <c r="G108" s="55"/>
      <c r="H108" s="55"/>
      <c r="I108" s="56"/>
      <c r="J108" s="57"/>
      <c r="K108" s="20"/>
      <c r="L108" s="69"/>
      <c r="M108" s="25"/>
      <c r="N108" s="57"/>
      <c r="O108" s="20"/>
      <c r="P108" s="69"/>
      <c r="Q108" s="25"/>
      <c r="R108" s="57"/>
      <c r="S108" s="20"/>
      <c r="T108" s="69"/>
      <c r="U108" s="25"/>
      <c r="V108" s="57"/>
      <c r="W108" s="20"/>
      <c r="X108" s="36"/>
      <c r="Y108" s="20"/>
      <c r="Z108" s="36"/>
      <c r="AA108" s="20"/>
      <c r="AB108" s="36"/>
      <c r="AC108" s="20"/>
      <c r="AD108" s="36"/>
      <c r="AE108" s="20"/>
      <c r="AF108" s="36"/>
      <c r="AG108" s="20"/>
      <c r="AH108" s="49">
        <f t="shared" si="3"/>
        <v>0</v>
      </c>
      <c r="AI108" s="73">
        <f t="shared" si="3"/>
        <v>0</v>
      </c>
      <c r="AJ108" s="51"/>
      <c r="AK108" s="51"/>
      <c r="AL108" s="51"/>
      <c r="AM108" s="52"/>
      <c r="AN108" s="51"/>
      <c r="AO108" s="51"/>
    </row>
    <row r="109" spans="1:41">
      <c r="A109" s="54" t="s">
        <v>28</v>
      </c>
      <c r="B109" s="58">
        <v>100</v>
      </c>
      <c r="C109" s="48" t="s">
        <v>29</v>
      </c>
      <c r="D109" s="55" t="s">
        <v>35</v>
      </c>
      <c r="E109" s="53">
        <v>2015</v>
      </c>
      <c r="F109" s="55"/>
      <c r="G109" s="55"/>
      <c r="H109" s="55"/>
      <c r="I109" s="56"/>
      <c r="J109" s="57"/>
      <c r="K109" s="20"/>
      <c r="L109" s="69"/>
      <c r="M109" s="25"/>
      <c r="N109" s="57"/>
      <c r="O109" s="20"/>
      <c r="P109" s="69"/>
      <c r="Q109" s="25"/>
      <c r="R109" s="57"/>
      <c r="S109" s="20"/>
      <c r="T109" s="69"/>
      <c r="U109" s="25"/>
      <c r="V109" s="57"/>
      <c r="W109" s="20"/>
      <c r="X109" s="36"/>
      <c r="Y109" s="20"/>
      <c r="Z109" s="36"/>
      <c r="AA109" s="20"/>
      <c r="AB109" s="36"/>
      <c r="AC109" s="20"/>
      <c r="AD109" s="36"/>
      <c r="AE109" s="20"/>
      <c r="AF109" s="36"/>
      <c r="AG109" s="20"/>
      <c r="AH109" s="49">
        <f t="shared" si="3"/>
        <v>0</v>
      </c>
      <c r="AI109" s="73">
        <f t="shared" si="3"/>
        <v>0</v>
      </c>
      <c r="AJ109" s="51"/>
      <c r="AK109" s="51"/>
      <c r="AL109" s="51"/>
      <c r="AM109" s="52"/>
      <c r="AN109" s="51"/>
      <c r="AO109" s="51"/>
    </row>
    <row r="110" spans="1:41">
      <c r="A110" s="54" t="s">
        <v>28</v>
      </c>
      <c r="B110" s="58">
        <v>100</v>
      </c>
      <c r="C110" s="48" t="s">
        <v>29</v>
      </c>
      <c r="D110" s="55" t="s">
        <v>35</v>
      </c>
      <c r="E110" s="53">
        <v>2015</v>
      </c>
      <c r="F110" s="55"/>
      <c r="G110" s="55"/>
      <c r="H110" s="55"/>
      <c r="I110" s="56"/>
      <c r="J110" s="57"/>
      <c r="K110" s="20"/>
      <c r="L110" s="69"/>
      <c r="M110" s="25"/>
      <c r="N110" s="57"/>
      <c r="O110" s="20"/>
      <c r="P110" s="69"/>
      <c r="Q110" s="25"/>
      <c r="R110" s="57"/>
      <c r="S110" s="20"/>
      <c r="T110" s="69"/>
      <c r="U110" s="25"/>
      <c r="V110" s="57"/>
      <c r="W110" s="20"/>
      <c r="X110" s="36"/>
      <c r="Y110" s="20"/>
      <c r="Z110" s="36"/>
      <c r="AA110" s="20"/>
      <c r="AB110" s="36"/>
      <c r="AC110" s="20"/>
      <c r="AD110" s="36"/>
      <c r="AE110" s="20"/>
      <c r="AF110" s="36"/>
      <c r="AG110" s="20"/>
      <c r="AH110" s="49">
        <f t="shared" si="3"/>
        <v>0</v>
      </c>
      <c r="AI110" s="73">
        <f t="shared" si="3"/>
        <v>0</v>
      </c>
      <c r="AJ110" s="51"/>
      <c r="AK110" s="51"/>
      <c r="AL110" s="51"/>
      <c r="AM110" s="52"/>
      <c r="AN110" s="51"/>
      <c r="AO110" s="51"/>
    </row>
    <row r="111" spans="1:41">
      <c r="A111" s="54" t="s">
        <v>28</v>
      </c>
      <c r="B111" s="58">
        <v>100</v>
      </c>
      <c r="C111" s="48" t="s">
        <v>29</v>
      </c>
      <c r="D111" s="55" t="s">
        <v>35</v>
      </c>
      <c r="E111" s="53">
        <v>2015</v>
      </c>
      <c r="F111" s="55"/>
      <c r="G111" s="55"/>
      <c r="H111" s="55"/>
      <c r="I111" s="56"/>
      <c r="J111" s="57"/>
      <c r="K111" s="20"/>
      <c r="L111" s="69"/>
      <c r="M111" s="25"/>
      <c r="N111" s="57"/>
      <c r="O111" s="20"/>
      <c r="P111" s="69"/>
      <c r="Q111" s="25"/>
      <c r="R111" s="57"/>
      <c r="S111" s="20"/>
      <c r="T111" s="69"/>
      <c r="U111" s="25"/>
      <c r="V111" s="57"/>
      <c r="W111" s="20"/>
      <c r="X111" s="36"/>
      <c r="Y111" s="20"/>
      <c r="Z111" s="36"/>
      <c r="AA111" s="20"/>
      <c r="AB111" s="36"/>
      <c r="AC111" s="20"/>
      <c r="AD111" s="36"/>
      <c r="AE111" s="20"/>
      <c r="AF111" s="36"/>
      <c r="AG111" s="20"/>
      <c r="AH111" s="49">
        <f t="shared" si="3"/>
        <v>0</v>
      </c>
      <c r="AI111" s="73">
        <f t="shared" si="3"/>
        <v>0</v>
      </c>
      <c r="AJ111" s="51"/>
      <c r="AK111" s="51"/>
      <c r="AL111" s="51"/>
      <c r="AM111" s="52"/>
      <c r="AN111" s="51"/>
      <c r="AO111" s="51"/>
    </row>
    <row r="112" spans="1:41">
      <c r="A112" s="54" t="s">
        <v>28</v>
      </c>
      <c r="B112" s="58">
        <v>100</v>
      </c>
      <c r="C112" s="48" t="s">
        <v>29</v>
      </c>
      <c r="D112" s="55" t="s">
        <v>35</v>
      </c>
      <c r="E112" s="53">
        <v>2015</v>
      </c>
      <c r="F112" s="55"/>
      <c r="G112" s="55"/>
      <c r="H112" s="55"/>
      <c r="I112" s="56"/>
      <c r="J112" s="57"/>
      <c r="K112" s="20"/>
      <c r="L112" s="69"/>
      <c r="M112" s="25"/>
      <c r="N112" s="57"/>
      <c r="O112" s="20"/>
      <c r="P112" s="69"/>
      <c r="Q112" s="25"/>
      <c r="R112" s="57"/>
      <c r="S112" s="20"/>
      <c r="T112" s="69"/>
      <c r="U112" s="25"/>
      <c r="V112" s="57"/>
      <c r="W112" s="20"/>
      <c r="X112" s="36"/>
      <c r="Y112" s="20"/>
      <c r="Z112" s="36"/>
      <c r="AA112" s="20"/>
      <c r="AB112" s="36"/>
      <c r="AC112" s="20"/>
      <c r="AD112" s="36"/>
      <c r="AE112" s="20"/>
      <c r="AF112" s="36"/>
      <c r="AG112" s="20"/>
      <c r="AH112" s="49">
        <f t="shared" si="3"/>
        <v>0</v>
      </c>
      <c r="AI112" s="73">
        <f t="shared" si="3"/>
        <v>0</v>
      </c>
      <c r="AJ112" s="51"/>
      <c r="AK112" s="51"/>
      <c r="AL112" s="51"/>
      <c r="AM112" s="52"/>
      <c r="AN112" s="51"/>
      <c r="AO112" s="51"/>
    </row>
    <row r="113" spans="1:41">
      <c r="A113" s="54" t="s">
        <v>28</v>
      </c>
      <c r="B113" s="58">
        <v>100</v>
      </c>
      <c r="C113" s="48" t="s">
        <v>29</v>
      </c>
      <c r="D113" s="55" t="s">
        <v>35</v>
      </c>
      <c r="E113" s="53">
        <v>2015</v>
      </c>
      <c r="F113" s="55"/>
      <c r="G113" s="55"/>
      <c r="H113" s="55"/>
      <c r="I113" s="56"/>
      <c r="J113" s="57"/>
      <c r="K113" s="20"/>
      <c r="L113" s="69"/>
      <c r="M113" s="25"/>
      <c r="N113" s="57"/>
      <c r="O113" s="20"/>
      <c r="P113" s="69"/>
      <c r="Q113" s="25"/>
      <c r="R113" s="57"/>
      <c r="S113" s="20"/>
      <c r="T113" s="69"/>
      <c r="U113" s="25"/>
      <c r="V113" s="57"/>
      <c r="W113" s="20"/>
      <c r="X113" s="36"/>
      <c r="Y113" s="20"/>
      <c r="Z113" s="36"/>
      <c r="AA113" s="20"/>
      <c r="AB113" s="36"/>
      <c r="AC113" s="20"/>
      <c r="AD113" s="36"/>
      <c r="AE113" s="20"/>
      <c r="AF113" s="36"/>
      <c r="AG113" s="20"/>
      <c r="AH113" s="49">
        <f t="shared" si="3"/>
        <v>0</v>
      </c>
      <c r="AI113" s="73">
        <f t="shared" si="3"/>
        <v>0</v>
      </c>
      <c r="AJ113" s="51"/>
      <c r="AK113" s="51"/>
      <c r="AL113" s="51"/>
      <c r="AM113" s="52"/>
      <c r="AN113" s="51"/>
      <c r="AO113" s="51"/>
    </row>
    <row r="114" spans="1:41">
      <c r="A114" s="54" t="s">
        <v>28</v>
      </c>
      <c r="B114" s="58">
        <v>100</v>
      </c>
      <c r="C114" s="48" t="s">
        <v>29</v>
      </c>
      <c r="D114" s="55" t="s">
        <v>35</v>
      </c>
      <c r="E114" s="53">
        <v>2015</v>
      </c>
      <c r="F114" s="55"/>
      <c r="G114" s="55"/>
      <c r="H114" s="55"/>
      <c r="I114" s="56"/>
      <c r="J114" s="57"/>
      <c r="K114" s="20"/>
      <c r="L114" s="69"/>
      <c r="M114" s="25"/>
      <c r="N114" s="57"/>
      <c r="O114" s="20"/>
      <c r="P114" s="69"/>
      <c r="Q114" s="25"/>
      <c r="R114" s="57"/>
      <c r="S114" s="20"/>
      <c r="T114" s="69"/>
      <c r="U114" s="25"/>
      <c r="V114" s="57"/>
      <c r="W114" s="20"/>
      <c r="X114" s="36"/>
      <c r="Y114" s="20"/>
      <c r="Z114" s="36"/>
      <c r="AA114" s="20"/>
      <c r="AB114" s="36"/>
      <c r="AC114" s="20"/>
      <c r="AD114" s="36"/>
      <c r="AE114" s="20"/>
      <c r="AF114" s="36"/>
      <c r="AG114" s="20"/>
      <c r="AH114" s="49">
        <f t="shared" si="3"/>
        <v>0</v>
      </c>
      <c r="AI114" s="73">
        <f t="shared" si="3"/>
        <v>0</v>
      </c>
      <c r="AJ114" s="51"/>
      <c r="AK114" s="51"/>
      <c r="AL114" s="51"/>
      <c r="AM114" s="52"/>
      <c r="AN114" s="51"/>
      <c r="AO114" s="51"/>
    </row>
    <row r="115" spans="1:41">
      <c r="A115" s="54" t="s">
        <v>28</v>
      </c>
      <c r="B115" s="58">
        <v>100</v>
      </c>
      <c r="C115" s="48" t="s">
        <v>29</v>
      </c>
      <c r="D115" s="55" t="s">
        <v>35</v>
      </c>
      <c r="E115" s="53">
        <v>2015</v>
      </c>
      <c r="F115" s="55"/>
      <c r="G115" s="55"/>
      <c r="H115" s="55"/>
      <c r="I115" s="56"/>
      <c r="J115" s="57"/>
      <c r="K115" s="20"/>
      <c r="L115" s="69"/>
      <c r="M115" s="25"/>
      <c r="N115" s="57"/>
      <c r="O115" s="20"/>
      <c r="P115" s="69"/>
      <c r="Q115" s="25"/>
      <c r="R115" s="57"/>
      <c r="S115" s="20"/>
      <c r="T115" s="69"/>
      <c r="U115" s="25"/>
      <c r="V115" s="57"/>
      <c r="W115" s="20"/>
      <c r="X115" s="36"/>
      <c r="Y115" s="20"/>
      <c r="Z115" s="36"/>
      <c r="AA115" s="20"/>
      <c r="AB115" s="36"/>
      <c r="AC115" s="20"/>
      <c r="AD115" s="36"/>
      <c r="AE115" s="20"/>
      <c r="AF115" s="36"/>
      <c r="AG115" s="20"/>
      <c r="AH115" s="49">
        <f t="shared" si="3"/>
        <v>0</v>
      </c>
      <c r="AI115" s="73">
        <f t="shared" si="3"/>
        <v>0</v>
      </c>
      <c r="AJ115" s="51"/>
      <c r="AK115" s="51"/>
      <c r="AL115" s="51"/>
      <c r="AM115" s="52"/>
      <c r="AN115" s="51"/>
      <c r="AO115" s="51"/>
    </row>
    <row r="116" spans="1:41">
      <c r="A116" s="54" t="s">
        <v>28</v>
      </c>
      <c r="B116" s="58">
        <v>100</v>
      </c>
      <c r="C116" s="48" t="s">
        <v>29</v>
      </c>
      <c r="D116" s="55" t="s">
        <v>35</v>
      </c>
      <c r="E116" s="53">
        <v>2015</v>
      </c>
      <c r="F116" s="55"/>
      <c r="G116" s="55"/>
      <c r="H116" s="55"/>
      <c r="I116" s="56"/>
      <c r="J116" s="57"/>
      <c r="K116" s="20"/>
      <c r="L116" s="69"/>
      <c r="M116" s="25"/>
      <c r="N116" s="57"/>
      <c r="O116" s="20"/>
      <c r="P116" s="69"/>
      <c r="Q116" s="25"/>
      <c r="R116" s="57"/>
      <c r="S116" s="20"/>
      <c r="T116" s="69"/>
      <c r="U116" s="25"/>
      <c r="V116" s="57"/>
      <c r="W116" s="20"/>
      <c r="X116" s="36"/>
      <c r="Y116" s="20"/>
      <c r="Z116" s="36"/>
      <c r="AA116" s="20"/>
      <c r="AB116" s="36"/>
      <c r="AC116" s="20"/>
      <c r="AD116" s="36"/>
      <c r="AE116" s="20"/>
      <c r="AF116" s="36"/>
      <c r="AG116" s="20"/>
      <c r="AH116" s="49">
        <f t="shared" si="3"/>
        <v>0</v>
      </c>
      <c r="AI116" s="73">
        <f t="shared" si="3"/>
        <v>0</v>
      </c>
      <c r="AJ116" s="51"/>
      <c r="AK116" s="51"/>
      <c r="AL116" s="51"/>
      <c r="AM116" s="52"/>
      <c r="AN116" s="51"/>
      <c r="AO116" s="51"/>
    </row>
    <row r="117" spans="1:41">
      <c r="A117" s="54" t="s">
        <v>28</v>
      </c>
      <c r="B117" s="58">
        <v>100</v>
      </c>
      <c r="C117" s="48" t="s">
        <v>29</v>
      </c>
      <c r="D117" s="55" t="s">
        <v>35</v>
      </c>
      <c r="E117" s="53">
        <v>2015</v>
      </c>
      <c r="F117" s="55"/>
      <c r="G117" s="55"/>
      <c r="H117" s="55"/>
      <c r="I117" s="56"/>
      <c r="J117" s="57"/>
      <c r="K117" s="20"/>
      <c r="L117" s="69"/>
      <c r="M117" s="25"/>
      <c r="N117" s="57"/>
      <c r="O117" s="20"/>
      <c r="P117" s="69"/>
      <c r="Q117" s="25"/>
      <c r="R117" s="57"/>
      <c r="S117" s="20"/>
      <c r="T117" s="69"/>
      <c r="U117" s="25"/>
      <c r="V117" s="57"/>
      <c r="W117" s="20"/>
      <c r="X117" s="36"/>
      <c r="Y117" s="20"/>
      <c r="Z117" s="36"/>
      <c r="AA117" s="20"/>
      <c r="AB117" s="36"/>
      <c r="AC117" s="20"/>
      <c r="AD117" s="36"/>
      <c r="AE117" s="20"/>
      <c r="AF117" s="36"/>
      <c r="AG117" s="20"/>
      <c r="AH117" s="49">
        <f t="shared" si="3"/>
        <v>0</v>
      </c>
      <c r="AI117" s="73">
        <f t="shared" si="3"/>
        <v>0</v>
      </c>
      <c r="AJ117" s="51"/>
      <c r="AK117" s="51"/>
      <c r="AL117" s="51"/>
      <c r="AM117" s="52"/>
      <c r="AN117" s="51"/>
      <c r="AO117" s="51"/>
    </row>
    <row r="118" spans="1:41">
      <c r="A118" s="54" t="s">
        <v>28</v>
      </c>
      <c r="B118" s="58">
        <v>100</v>
      </c>
      <c r="C118" s="48" t="s">
        <v>29</v>
      </c>
      <c r="D118" s="55" t="s">
        <v>35</v>
      </c>
      <c r="E118" s="53">
        <v>2015</v>
      </c>
      <c r="F118" s="55"/>
      <c r="G118" s="55"/>
      <c r="H118" s="55"/>
      <c r="I118" s="56"/>
      <c r="J118" s="57"/>
      <c r="K118" s="20"/>
      <c r="L118" s="69"/>
      <c r="M118" s="25"/>
      <c r="N118" s="57"/>
      <c r="O118" s="20"/>
      <c r="P118" s="69"/>
      <c r="Q118" s="25"/>
      <c r="R118" s="57"/>
      <c r="S118" s="20"/>
      <c r="T118" s="69"/>
      <c r="U118" s="25"/>
      <c r="V118" s="57"/>
      <c r="W118" s="20"/>
      <c r="X118" s="36"/>
      <c r="Y118" s="20"/>
      <c r="Z118" s="36"/>
      <c r="AA118" s="20"/>
      <c r="AB118" s="36"/>
      <c r="AC118" s="20"/>
      <c r="AD118" s="36"/>
      <c r="AE118" s="20"/>
      <c r="AF118" s="36"/>
      <c r="AG118" s="20"/>
      <c r="AH118" s="49">
        <f t="shared" si="3"/>
        <v>0</v>
      </c>
      <c r="AI118" s="73">
        <f t="shared" si="3"/>
        <v>0</v>
      </c>
      <c r="AJ118" s="51"/>
      <c r="AK118" s="51"/>
      <c r="AL118" s="51"/>
      <c r="AM118" s="52"/>
      <c r="AN118" s="51"/>
      <c r="AO118" s="51"/>
    </row>
    <row r="119" spans="1:41">
      <c r="A119" s="54" t="s">
        <v>28</v>
      </c>
      <c r="B119" s="58">
        <v>100</v>
      </c>
      <c r="C119" s="48" t="s">
        <v>29</v>
      </c>
      <c r="D119" s="55" t="s">
        <v>35</v>
      </c>
      <c r="E119" s="53">
        <v>2015</v>
      </c>
      <c r="F119" s="55"/>
      <c r="G119" s="55"/>
      <c r="H119" s="55"/>
      <c r="I119" s="56"/>
      <c r="J119" s="57"/>
      <c r="K119" s="20"/>
      <c r="L119" s="69"/>
      <c r="M119" s="25"/>
      <c r="N119" s="57"/>
      <c r="O119" s="20"/>
      <c r="P119" s="69"/>
      <c r="Q119" s="25"/>
      <c r="R119" s="57"/>
      <c r="S119" s="20"/>
      <c r="T119" s="69"/>
      <c r="U119" s="25"/>
      <c r="V119" s="57"/>
      <c r="W119" s="20"/>
      <c r="X119" s="36"/>
      <c r="Y119" s="20"/>
      <c r="Z119" s="36"/>
      <c r="AA119" s="20"/>
      <c r="AB119" s="36"/>
      <c r="AC119" s="20"/>
      <c r="AD119" s="36"/>
      <c r="AE119" s="20"/>
      <c r="AF119" s="36"/>
      <c r="AG119" s="20"/>
      <c r="AH119" s="49">
        <f t="shared" si="3"/>
        <v>0</v>
      </c>
      <c r="AI119" s="73">
        <f t="shared" si="3"/>
        <v>0</v>
      </c>
      <c r="AJ119" s="51"/>
      <c r="AK119" s="51"/>
      <c r="AL119" s="51"/>
      <c r="AM119" s="52"/>
      <c r="AN119" s="51"/>
      <c r="AO119" s="51"/>
    </row>
    <row r="120" spans="1:41">
      <c r="A120" s="54" t="s">
        <v>28</v>
      </c>
      <c r="B120" s="58">
        <v>100</v>
      </c>
      <c r="C120" s="48" t="s">
        <v>29</v>
      </c>
      <c r="D120" s="55" t="s">
        <v>35</v>
      </c>
      <c r="E120" s="53">
        <v>2015</v>
      </c>
      <c r="F120" s="55"/>
      <c r="G120" s="55"/>
      <c r="H120" s="55"/>
      <c r="I120" s="56"/>
      <c r="J120" s="57"/>
      <c r="K120" s="20"/>
      <c r="L120" s="69"/>
      <c r="M120" s="25"/>
      <c r="N120" s="57"/>
      <c r="O120" s="20"/>
      <c r="P120" s="69"/>
      <c r="Q120" s="25"/>
      <c r="R120" s="57"/>
      <c r="S120" s="20"/>
      <c r="T120" s="69"/>
      <c r="U120" s="25"/>
      <c r="V120" s="57"/>
      <c r="W120" s="20"/>
      <c r="X120" s="36"/>
      <c r="Y120" s="20"/>
      <c r="Z120" s="36"/>
      <c r="AA120" s="20"/>
      <c r="AB120" s="36"/>
      <c r="AC120" s="20"/>
      <c r="AD120" s="36"/>
      <c r="AE120" s="20"/>
      <c r="AF120" s="36"/>
      <c r="AG120" s="20"/>
      <c r="AH120" s="49">
        <f t="shared" si="3"/>
        <v>0</v>
      </c>
      <c r="AI120" s="73">
        <f t="shared" si="3"/>
        <v>0</v>
      </c>
      <c r="AJ120" s="51"/>
      <c r="AK120" s="51"/>
      <c r="AL120" s="51"/>
      <c r="AM120" s="52"/>
      <c r="AN120" s="51"/>
      <c r="AO120" s="51"/>
    </row>
    <row r="121" spans="1:41">
      <c r="A121" s="54" t="s">
        <v>28</v>
      </c>
      <c r="B121" s="58">
        <v>100</v>
      </c>
      <c r="C121" s="48" t="s">
        <v>29</v>
      </c>
      <c r="D121" s="55" t="s">
        <v>35</v>
      </c>
      <c r="E121" s="53">
        <v>2015</v>
      </c>
      <c r="F121" s="55"/>
      <c r="G121" s="55"/>
      <c r="H121" s="55"/>
      <c r="I121" s="56"/>
      <c r="J121" s="57"/>
      <c r="K121" s="20"/>
      <c r="L121" s="69"/>
      <c r="M121" s="25"/>
      <c r="N121" s="57"/>
      <c r="O121" s="20"/>
      <c r="P121" s="69"/>
      <c r="Q121" s="25"/>
      <c r="R121" s="57"/>
      <c r="S121" s="20"/>
      <c r="T121" s="69"/>
      <c r="U121" s="25"/>
      <c r="V121" s="57"/>
      <c r="W121" s="20"/>
      <c r="X121" s="36"/>
      <c r="Y121" s="20"/>
      <c r="Z121" s="36"/>
      <c r="AA121" s="20"/>
      <c r="AB121" s="36"/>
      <c r="AC121" s="20"/>
      <c r="AD121" s="36"/>
      <c r="AE121" s="20"/>
      <c r="AF121" s="36"/>
      <c r="AG121" s="20"/>
      <c r="AH121" s="49">
        <f t="shared" si="3"/>
        <v>0</v>
      </c>
      <c r="AI121" s="73">
        <f t="shared" si="3"/>
        <v>0</v>
      </c>
      <c r="AJ121" s="51"/>
      <c r="AK121" s="51"/>
      <c r="AL121" s="51"/>
      <c r="AM121" s="52"/>
      <c r="AN121" s="51"/>
      <c r="AO121" s="51"/>
    </row>
    <row r="122" spans="1:41">
      <c r="A122" s="54" t="s">
        <v>28</v>
      </c>
      <c r="B122" s="58">
        <v>100</v>
      </c>
      <c r="C122" s="48" t="s">
        <v>29</v>
      </c>
      <c r="D122" s="55" t="s">
        <v>35</v>
      </c>
      <c r="E122" s="53">
        <v>2015</v>
      </c>
      <c r="F122" s="55"/>
      <c r="G122" s="55"/>
      <c r="H122" s="55"/>
      <c r="I122" s="56"/>
      <c r="J122" s="57"/>
      <c r="K122" s="20"/>
      <c r="L122" s="69"/>
      <c r="M122" s="25"/>
      <c r="N122" s="57"/>
      <c r="O122" s="20"/>
      <c r="P122" s="69"/>
      <c r="Q122" s="25"/>
      <c r="R122" s="57"/>
      <c r="S122" s="20"/>
      <c r="T122" s="69"/>
      <c r="U122" s="25"/>
      <c r="V122" s="57"/>
      <c r="W122" s="20"/>
      <c r="X122" s="36"/>
      <c r="Y122" s="20"/>
      <c r="Z122" s="36"/>
      <c r="AA122" s="20"/>
      <c r="AB122" s="36"/>
      <c r="AC122" s="20"/>
      <c r="AD122" s="36"/>
      <c r="AE122" s="20"/>
      <c r="AF122" s="36"/>
      <c r="AG122" s="20"/>
      <c r="AH122" s="49">
        <f t="shared" si="3"/>
        <v>0</v>
      </c>
      <c r="AI122" s="73">
        <f t="shared" si="3"/>
        <v>0</v>
      </c>
      <c r="AJ122" s="51"/>
      <c r="AK122" s="51"/>
      <c r="AL122" s="51"/>
      <c r="AM122" s="52"/>
      <c r="AN122" s="51"/>
      <c r="AO122" s="51"/>
    </row>
    <row r="123" spans="1:41">
      <c r="A123" s="54" t="s">
        <v>28</v>
      </c>
      <c r="B123" s="58">
        <v>100</v>
      </c>
      <c r="C123" s="48" t="s">
        <v>29</v>
      </c>
      <c r="D123" s="55" t="s">
        <v>35</v>
      </c>
      <c r="E123" s="53">
        <v>2015</v>
      </c>
      <c r="F123" s="55"/>
      <c r="G123" s="55"/>
      <c r="H123" s="55"/>
      <c r="I123" s="56"/>
      <c r="J123" s="57"/>
      <c r="K123" s="20"/>
      <c r="L123" s="69"/>
      <c r="M123" s="25"/>
      <c r="N123" s="57"/>
      <c r="O123" s="20"/>
      <c r="P123" s="69"/>
      <c r="Q123" s="25"/>
      <c r="R123" s="57"/>
      <c r="S123" s="20"/>
      <c r="T123" s="69"/>
      <c r="U123" s="25"/>
      <c r="V123" s="57"/>
      <c r="W123" s="20"/>
      <c r="X123" s="36"/>
      <c r="Y123" s="20"/>
      <c r="Z123" s="36"/>
      <c r="AA123" s="20"/>
      <c r="AB123" s="36"/>
      <c r="AC123" s="20"/>
      <c r="AD123" s="36"/>
      <c r="AE123" s="20"/>
      <c r="AF123" s="36"/>
      <c r="AG123" s="20"/>
      <c r="AH123" s="49">
        <f t="shared" si="3"/>
        <v>0</v>
      </c>
      <c r="AI123" s="73">
        <f t="shared" si="3"/>
        <v>0</v>
      </c>
      <c r="AJ123" s="51"/>
      <c r="AK123" s="51"/>
      <c r="AL123" s="51"/>
      <c r="AM123" s="52"/>
      <c r="AN123" s="51"/>
      <c r="AO123" s="51"/>
    </row>
    <row r="124" spans="1:41">
      <c r="A124" s="54" t="s">
        <v>28</v>
      </c>
      <c r="B124" s="58">
        <v>100</v>
      </c>
      <c r="C124" s="48" t="s">
        <v>29</v>
      </c>
      <c r="D124" s="55" t="s">
        <v>35</v>
      </c>
      <c r="E124" s="53">
        <v>2015</v>
      </c>
      <c r="F124" s="55"/>
      <c r="G124" s="55"/>
      <c r="H124" s="55"/>
      <c r="I124" s="56"/>
      <c r="J124" s="57"/>
      <c r="K124" s="20"/>
      <c r="L124" s="69"/>
      <c r="M124" s="25"/>
      <c r="N124" s="57"/>
      <c r="O124" s="20"/>
      <c r="P124" s="69"/>
      <c r="Q124" s="25"/>
      <c r="R124" s="57"/>
      <c r="S124" s="20"/>
      <c r="T124" s="69"/>
      <c r="U124" s="25"/>
      <c r="V124" s="57"/>
      <c r="W124" s="20"/>
      <c r="X124" s="36"/>
      <c r="Y124" s="20"/>
      <c r="Z124" s="36"/>
      <c r="AA124" s="20"/>
      <c r="AB124" s="36"/>
      <c r="AC124" s="20"/>
      <c r="AD124" s="36"/>
      <c r="AE124" s="20"/>
      <c r="AF124" s="36"/>
      <c r="AG124" s="20"/>
      <c r="AH124" s="49">
        <f t="shared" si="3"/>
        <v>0</v>
      </c>
      <c r="AI124" s="73">
        <f t="shared" si="3"/>
        <v>0</v>
      </c>
      <c r="AJ124" s="51"/>
      <c r="AK124" s="51"/>
      <c r="AL124" s="51"/>
      <c r="AM124" s="52"/>
      <c r="AN124" s="51"/>
      <c r="AO124" s="51"/>
    </row>
    <row r="125" spans="1:41">
      <c r="A125" s="54" t="s">
        <v>28</v>
      </c>
      <c r="B125" s="58">
        <v>100</v>
      </c>
      <c r="C125" s="48" t="s">
        <v>29</v>
      </c>
      <c r="D125" s="55" t="s">
        <v>35</v>
      </c>
      <c r="E125" s="53">
        <v>2015</v>
      </c>
      <c r="F125" s="55"/>
      <c r="G125" s="55"/>
      <c r="H125" s="55"/>
      <c r="I125" s="56"/>
      <c r="J125" s="57"/>
      <c r="K125" s="20"/>
      <c r="L125" s="69"/>
      <c r="M125" s="25"/>
      <c r="N125" s="57"/>
      <c r="O125" s="20"/>
      <c r="P125" s="69"/>
      <c r="Q125" s="25"/>
      <c r="R125" s="57"/>
      <c r="S125" s="20"/>
      <c r="T125" s="69"/>
      <c r="U125" s="25"/>
      <c r="V125" s="57"/>
      <c r="W125" s="20"/>
      <c r="X125" s="36"/>
      <c r="Y125" s="20"/>
      <c r="Z125" s="36"/>
      <c r="AA125" s="20"/>
      <c r="AB125" s="36"/>
      <c r="AC125" s="20"/>
      <c r="AD125" s="36"/>
      <c r="AE125" s="20"/>
      <c r="AF125" s="36"/>
      <c r="AG125" s="20"/>
      <c r="AH125" s="49">
        <f t="shared" si="3"/>
        <v>0</v>
      </c>
      <c r="AI125" s="73">
        <f t="shared" si="3"/>
        <v>0</v>
      </c>
      <c r="AJ125" s="51"/>
      <c r="AK125" s="51"/>
      <c r="AL125" s="51"/>
      <c r="AM125" s="52"/>
      <c r="AN125" s="51"/>
      <c r="AO125" s="51"/>
    </row>
    <row r="126" spans="1:41">
      <c r="A126" s="54" t="s">
        <v>28</v>
      </c>
      <c r="B126" s="58">
        <v>100</v>
      </c>
      <c r="C126" s="48" t="s">
        <v>29</v>
      </c>
      <c r="D126" s="55" t="s">
        <v>35</v>
      </c>
      <c r="E126" s="53">
        <v>2015</v>
      </c>
      <c r="F126" s="55"/>
      <c r="G126" s="55"/>
      <c r="H126" s="55"/>
      <c r="I126" s="56"/>
      <c r="J126" s="57"/>
      <c r="K126" s="20"/>
      <c r="L126" s="69"/>
      <c r="M126" s="25"/>
      <c r="N126" s="57"/>
      <c r="O126" s="20"/>
      <c r="P126" s="69"/>
      <c r="Q126" s="25"/>
      <c r="R126" s="57"/>
      <c r="S126" s="20"/>
      <c r="T126" s="69"/>
      <c r="U126" s="25"/>
      <c r="V126" s="57"/>
      <c r="W126" s="20"/>
      <c r="X126" s="36"/>
      <c r="Y126" s="20"/>
      <c r="Z126" s="36"/>
      <c r="AA126" s="20"/>
      <c r="AB126" s="36"/>
      <c r="AC126" s="20"/>
      <c r="AD126" s="36"/>
      <c r="AE126" s="20"/>
      <c r="AF126" s="36"/>
      <c r="AG126" s="20"/>
      <c r="AH126" s="49">
        <f t="shared" si="3"/>
        <v>0</v>
      </c>
      <c r="AI126" s="73">
        <f t="shared" si="3"/>
        <v>0</v>
      </c>
      <c r="AJ126" s="51"/>
      <c r="AK126" s="51"/>
      <c r="AL126" s="51"/>
      <c r="AM126" s="52"/>
      <c r="AN126" s="51"/>
      <c r="AO126" s="51"/>
    </row>
    <row r="127" spans="1:41">
      <c r="A127" s="54" t="s">
        <v>28</v>
      </c>
      <c r="B127" s="58">
        <v>100</v>
      </c>
      <c r="C127" s="48" t="s">
        <v>29</v>
      </c>
      <c r="D127" s="55" t="s">
        <v>35</v>
      </c>
      <c r="E127" s="53">
        <v>2015</v>
      </c>
      <c r="F127" s="55"/>
      <c r="G127" s="55"/>
      <c r="H127" s="55"/>
      <c r="I127" s="56"/>
      <c r="J127" s="57"/>
      <c r="K127" s="20"/>
      <c r="L127" s="69"/>
      <c r="M127" s="25"/>
      <c r="N127" s="57"/>
      <c r="O127" s="20"/>
      <c r="P127" s="69"/>
      <c r="Q127" s="25"/>
      <c r="R127" s="57"/>
      <c r="S127" s="20"/>
      <c r="T127" s="69"/>
      <c r="U127" s="25"/>
      <c r="V127" s="57"/>
      <c r="W127" s="20"/>
      <c r="X127" s="36"/>
      <c r="Y127" s="20"/>
      <c r="Z127" s="36"/>
      <c r="AA127" s="20"/>
      <c r="AB127" s="36"/>
      <c r="AC127" s="20"/>
      <c r="AD127" s="36"/>
      <c r="AE127" s="20"/>
      <c r="AF127" s="36"/>
      <c r="AG127" s="20"/>
      <c r="AH127" s="49">
        <f t="shared" si="3"/>
        <v>0</v>
      </c>
      <c r="AI127" s="73">
        <f t="shared" si="3"/>
        <v>0</v>
      </c>
      <c r="AJ127" s="51"/>
      <c r="AK127" s="51"/>
      <c r="AL127" s="51"/>
      <c r="AM127" s="52"/>
      <c r="AN127" s="51"/>
      <c r="AO127" s="51"/>
    </row>
    <row r="128" spans="1:41">
      <c r="A128" s="54" t="s">
        <v>28</v>
      </c>
      <c r="B128" s="58">
        <v>100</v>
      </c>
      <c r="C128" s="48" t="s">
        <v>29</v>
      </c>
      <c r="D128" s="55" t="s">
        <v>35</v>
      </c>
      <c r="E128" s="53">
        <v>2015</v>
      </c>
      <c r="F128" s="55"/>
      <c r="G128" s="55"/>
      <c r="H128" s="55"/>
      <c r="I128" s="56"/>
      <c r="J128" s="57"/>
      <c r="K128" s="20"/>
      <c r="L128" s="69"/>
      <c r="M128" s="25"/>
      <c r="N128" s="57"/>
      <c r="O128" s="20"/>
      <c r="P128" s="69"/>
      <c r="Q128" s="25"/>
      <c r="R128" s="57"/>
      <c r="S128" s="20"/>
      <c r="T128" s="69"/>
      <c r="U128" s="25"/>
      <c r="V128" s="57"/>
      <c r="W128" s="20"/>
      <c r="X128" s="36"/>
      <c r="Y128" s="20"/>
      <c r="Z128" s="36"/>
      <c r="AA128" s="20"/>
      <c r="AB128" s="36"/>
      <c r="AC128" s="20"/>
      <c r="AD128" s="36"/>
      <c r="AE128" s="20"/>
      <c r="AF128" s="36"/>
      <c r="AG128" s="20"/>
      <c r="AH128" s="49">
        <f t="shared" si="3"/>
        <v>0</v>
      </c>
      <c r="AI128" s="73">
        <f t="shared" si="3"/>
        <v>0</v>
      </c>
      <c r="AJ128" s="51"/>
      <c r="AK128" s="51"/>
      <c r="AL128" s="51"/>
      <c r="AM128" s="52"/>
      <c r="AN128" s="51"/>
      <c r="AO128" s="51"/>
    </row>
    <row r="129" spans="1:41">
      <c r="A129" s="54" t="s">
        <v>28</v>
      </c>
      <c r="B129" s="58">
        <v>100</v>
      </c>
      <c r="C129" s="48" t="s">
        <v>29</v>
      </c>
      <c r="D129" s="55" t="s">
        <v>35</v>
      </c>
      <c r="E129" s="53">
        <v>2015</v>
      </c>
      <c r="F129" s="55"/>
      <c r="G129" s="55"/>
      <c r="H129" s="55"/>
      <c r="I129" s="56"/>
      <c r="J129" s="57"/>
      <c r="K129" s="20"/>
      <c r="L129" s="69"/>
      <c r="M129" s="25"/>
      <c r="N129" s="57"/>
      <c r="O129" s="20"/>
      <c r="P129" s="69"/>
      <c r="Q129" s="25"/>
      <c r="R129" s="57"/>
      <c r="S129" s="20"/>
      <c r="T129" s="69"/>
      <c r="U129" s="25"/>
      <c r="V129" s="57"/>
      <c r="W129" s="20"/>
      <c r="X129" s="36"/>
      <c r="Y129" s="20"/>
      <c r="Z129" s="36"/>
      <c r="AA129" s="20"/>
      <c r="AB129" s="36"/>
      <c r="AC129" s="20"/>
      <c r="AD129" s="36"/>
      <c r="AE129" s="20"/>
      <c r="AF129" s="36"/>
      <c r="AG129" s="20"/>
      <c r="AH129" s="49">
        <f t="shared" si="3"/>
        <v>0</v>
      </c>
      <c r="AI129" s="73">
        <f t="shared" si="3"/>
        <v>0</v>
      </c>
      <c r="AJ129" s="51"/>
      <c r="AK129" s="51"/>
      <c r="AL129" s="51"/>
      <c r="AM129" s="52"/>
      <c r="AN129" s="51"/>
      <c r="AO129" s="51"/>
    </row>
    <row r="130" spans="1:41">
      <c r="A130" s="54" t="s">
        <v>28</v>
      </c>
      <c r="B130" s="58">
        <v>100</v>
      </c>
      <c r="C130" s="48" t="s">
        <v>29</v>
      </c>
      <c r="D130" s="55" t="s">
        <v>35</v>
      </c>
      <c r="E130" s="53">
        <v>2015</v>
      </c>
      <c r="F130" s="55"/>
      <c r="G130" s="55"/>
      <c r="H130" s="55"/>
      <c r="I130" s="56"/>
      <c r="J130" s="57"/>
      <c r="K130" s="20"/>
      <c r="L130" s="69"/>
      <c r="M130" s="25"/>
      <c r="N130" s="57"/>
      <c r="O130" s="20"/>
      <c r="P130" s="69"/>
      <c r="Q130" s="25"/>
      <c r="R130" s="57"/>
      <c r="S130" s="20"/>
      <c r="T130" s="69"/>
      <c r="U130" s="25"/>
      <c r="V130" s="57"/>
      <c r="W130" s="20"/>
      <c r="X130" s="36"/>
      <c r="Y130" s="20"/>
      <c r="Z130" s="36"/>
      <c r="AA130" s="20"/>
      <c r="AB130" s="36"/>
      <c r="AC130" s="20"/>
      <c r="AD130" s="36"/>
      <c r="AE130" s="20"/>
      <c r="AF130" s="36"/>
      <c r="AG130" s="20"/>
      <c r="AH130" s="49">
        <f t="shared" si="3"/>
        <v>0</v>
      </c>
      <c r="AI130" s="73">
        <f t="shared" si="3"/>
        <v>0</v>
      </c>
      <c r="AJ130" s="51"/>
      <c r="AK130" s="51"/>
      <c r="AL130" s="51"/>
      <c r="AM130" s="52"/>
      <c r="AN130" s="51"/>
      <c r="AO130" s="51"/>
    </row>
    <row r="131" spans="1:41">
      <c r="A131" s="54" t="s">
        <v>28</v>
      </c>
      <c r="B131" s="58">
        <v>100</v>
      </c>
      <c r="C131" s="48" t="s">
        <v>29</v>
      </c>
      <c r="D131" s="55" t="s">
        <v>35</v>
      </c>
      <c r="E131" s="53">
        <v>2015</v>
      </c>
      <c r="F131" s="55"/>
      <c r="G131" s="55"/>
      <c r="H131" s="55"/>
      <c r="I131" s="56"/>
      <c r="J131" s="57"/>
      <c r="K131" s="20"/>
      <c r="L131" s="69"/>
      <c r="M131" s="25"/>
      <c r="N131" s="57"/>
      <c r="O131" s="20"/>
      <c r="P131" s="69"/>
      <c r="Q131" s="25"/>
      <c r="R131" s="57"/>
      <c r="S131" s="20"/>
      <c r="T131" s="69"/>
      <c r="U131" s="25"/>
      <c r="V131" s="57"/>
      <c r="W131" s="20"/>
      <c r="X131" s="36"/>
      <c r="Y131" s="20"/>
      <c r="Z131" s="36"/>
      <c r="AA131" s="20"/>
      <c r="AB131" s="36"/>
      <c r="AC131" s="20"/>
      <c r="AD131" s="36"/>
      <c r="AE131" s="20"/>
      <c r="AF131" s="36"/>
      <c r="AG131" s="20"/>
      <c r="AH131" s="49">
        <f t="shared" si="3"/>
        <v>0</v>
      </c>
      <c r="AI131" s="73">
        <f t="shared" si="3"/>
        <v>0</v>
      </c>
      <c r="AJ131" s="51"/>
      <c r="AK131" s="51"/>
      <c r="AL131" s="51"/>
      <c r="AM131" s="52"/>
      <c r="AN131" s="51"/>
      <c r="AO131" s="51"/>
    </row>
    <row r="132" spans="1:41">
      <c r="A132" s="54" t="s">
        <v>28</v>
      </c>
      <c r="B132" s="58">
        <v>100</v>
      </c>
      <c r="C132" s="48" t="s">
        <v>29</v>
      </c>
      <c r="D132" s="55" t="s">
        <v>35</v>
      </c>
      <c r="E132" s="53">
        <v>2015</v>
      </c>
      <c r="F132" s="55"/>
      <c r="G132" s="55"/>
      <c r="H132" s="55"/>
      <c r="I132" s="56"/>
      <c r="J132" s="57"/>
      <c r="K132" s="20"/>
      <c r="L132" s="69"/>
      <c r="M132" s="25"/>
      <c r="N132" s="57"/>
      <c r="O132" s="20"/>
      <c r="P132" s="69"/>
      <c r="Q132" s="25"/>
      <c r="R132" s="57"/>
      <c r="S132" s="20"/>
      <c r="T132" s="69"/>
      <c r="U132" s="25"/>
      <c r="V132" s="57"/>
      <c r="W132" s="20"/>
      <c r="X132" s="36"/>
      <c r="Y132" s="20"/>
      <c r="Z132" s="36"/>
      <c r="AA132" s="20"/>
      <c r="AB132" s="36"/>
      <c r="AC132" s="20"/>
      <c r="AD132" s="36"/>
      <c r="AE132" s="20"/>
      <c r="AF132" s="36"/>
      <c r="AG132" s="20"/>
      <c r="AH132" s="49">
        <f t="shared" si="3"/>
        <v>0</v>
      </c>
      <c r="AI132" s="73">
        <f t="shared" si="3"/>
        <v>0</v>
      </c>
      <c r="AJ132" s="51"/>
      <c r="AK132" s="51"/>
      <c r="AL132" s="51"/>
      <c r="AM132" s="52"/>
      <c r="AN132" s="51"/>
      <c r="AO132" s="51"/>
    </row>
    <row r="133" spans="1:41">
      <c r="A133" s="54" t="s">
        <v>28</v>
      </c>
      <c r="B133" s="58">
        <v>100</v>
      </c>
      <c r="C133" s="48" t="s">
        <v>29</v>
      </c>
      <c r="D133" s="55" t="s">
        <v>35</v>
      </c>
      <c r="E133" s="53">
        <v>2015</v>
      </c>
      <c r="F133" s="55"/>
      <c r="G133" s="55"/>
      <c r="H133" s="55"/>
      <c r="I133" s="56"/>
      <c r="J133" s="57"/>
      <c r="K133" s="20"/>
      <c r="L133" s="69"/>
      <c r="M133" s="25"/>
      <c r="N133" s="57"/>
      <c r="O133" s="20"/>
      <c r="P133" s="69"/>
      <c r="Q133" s="25"/>
      <c r="R133" s="57"/>
      <c r="S133" s="20"/>
      <c r="T133" s="69"/>
      <c r="U133" s="25"/>
      <c r="V133" s="57"/>
      <c r="W133" s="20"/>
      <c r="X133" s="36"/>
      <c r="Y133" s="20"/>
      <c r="Z133" s="36"/>
      <c r="AA133" s="20"/>
      <c r="AB133" s="36"/>
      <c r="AC133" s="20"/>
      <c r="AD133" s="36"/>
      <c r="AE133" s="20"/>
      <c r="AF133" s="36"/>
      <c r="AG133" s="20"/>
      <c r="AH133" s="49">
        <f t="shared" ref="AH133:AI192" si="4">AF133+AD133+AB133+Z133+X133+V133+T133+R133+P133+N133+L133+J133</f>
        <v>0</v>
      </c>
      <c r="AI133" s="73">
        <f t="shared" si="4"/>
        <v>0</v>
      </c>
      <c r="AJ133" s="51"/>
      <c r="AK133" s="51"/>
      <c r="AL133" s="51"/>
      <c r="AM133" s="52"/>
      <c r="AN133" s="51"/>
      <c r="AO133" s="51"/>
    </row>
    <row r="134" spans="1:41">
      <c r="A134" s="54" t="s">
        <v>28</v>
      </c>
      <c r="B134" s="58">
        <v>100</v>
      </c>
      <c r="C134" s="48" t="s">
        <v>29</v>
      </c>
      <c r="D134" s="55" t="s">
        <v>35</v>
      </c>
      <c r="E134" s="53">
        <v>2015</v>
      </c>
      <c r="F134" s="55"/>
      <c r="G134" s="55"/>
      <c r="H134" s="55"/>
      <c r="I134" s="56"/>
      <c r="J134" s="57"/>
      <c r="K134" s="20"/>
      <c r="L134" s="69"/>
      <c r="M134" s="25"/>
      <c r="N134" s="57"/>
      <c r="O134" s="20"/>
      <c r="P134" s="69"/>
      <c r="Q134" s="25"/>
      <c r="R134" s="57"/>
      <c r="S134" s="20"/>
      <c r="T134" s="69"/>
      <c r="U134" s="25"/>
      <c r="V134" s="57"/>
      <c r="W134" s="20"/>
      <c r="X134" s="36"/>
      <c r="Y134" s="20"/>
      <c r="Z134" s="36"/>
      <c r="AA134" s="20"/>
      <c r="AB134" s="36"/>
      <c r="AC134" s="20"/>
      <c r="AD134" s="36"/>
      <c r="AE134" s="20"/>
      <c r="AF134" s="36"/>
      <c r="AG134" s="20"/>
      <c r="AH134" s="49">
        <f t="shared" si="4"/>
        <v>0</v>
      </c>
      <c r="AI134" s="73">
        <f t="shared" si="4"/>
        <v>0</v>
      </c>
      <c r="AJ134" s="51"/>
      <c r="AK134" s="51"/>
      <c r="AL134" s="51"/>
      <c r="AM134" s="52"/>
      <c r="AN134" s="51"/>
      <c r="AO134" s="51"/>
    </row>
    <row r="135" spans="1:41">
      <c r="A135" s="54" t="s">
        <v>28</v>
      </c>
      <c r="B135" s="58">
        <v>100</v>
      </c>
      <c r="C135" s="48" t="s">
        <v>29</v>
      </c>
      <c r="D135" s="55" t="s">
        <v>35</v>
      </c>
      <c r="E135" s="53">
        <v>2015</v>
      </c>
      <c r="F135" s="55"/>
      <c r="G135" s="55"/>
      <c r="H135" s="55"/>
      <c r="I135" s="56"/>
      <c r="J135" s="57"/>
      <c r="K135" s="20"/>
      <c r="L135" s="69"/>
      <c r="M135" s="25"/>
      <c r="N135" s="57"/>
      <c r="O135" s="20"/>
      <c r="P135" s="69"/>
      <c r="Q135" s="25"/>
      <c r="R135" s="57"/>
      <c r="S135" s="20"/>
      <c r="T135" s="69"/>
      <c r="U135" s="25"/>
      <c r="V135" s="57"/>
      <c r="W135" s="20"/>
      <c r="X135" s="36"/>
      <c r="Y135" s="20"/>
      <c r="Z135" s="36"/>
      <c r="AA135" s="20"/>
      <c r="AB135" s="36"/>
      <c r="AC135" s="20"/>
      <c r="AD135" s="36"/>
      <c r="AE135" s="20"/>
      <c r="AF135" s="36"/>
      <c r="AG135" s="20"/>
      <c r="AH135" s="49">
        <f t="shared" si="4"/>
        <v>0</v>
      </c>
      <c r="AI135" s="73">
        <f t="shared" si="4"/>
        <v>0</v>
      </c>
      <c r="AJ135" s="51"/>
      <c r="AK135" s="51"/>
      <c r="AL135" s="51"/>
      <c r="AM135" s="52"/>
      <c r="AN135" s="51"/>
      <c r="AO135" s="51"/>
    </row>
    <row r="136" spans="1:41">
      <c r="A136" s="54" t="s">
        <v>28</v>
      </c>
      <c r="B136" s="58">
        <v>100</v>
      </c>
      <c r="C136" s="48" t="s">
        <v>29</v>
      </c>
      <c r="D136" s="55" t="s">
        <v>35</v>
      </c>
      <c r="E136" s="53">
        <v>2015</v>
      </c>
      <c r="F136" s="55"/>
      <c r="G136" s="55"/>
      <c r="H136" s="55"/>
      <c r="I136" s="56"/>
      <c r="J136" s="57"/>
      <c r="K136" s="20"/>
      <c r="L136" s="69"/>
      <c r="M136" s="25"/>
      <c r="N136" s="57"/>
      <c r="O136" s="20"/>
      <c r="P136" s="69"/>
      <c r="Q136" s="25"/>
      <c r="R136" s="57"/>
      <c r="S136" s="20"/>
      <c r="T136" s="69"/>
      <c r="U136" s="25"/>
      <c r="V136" s="57"/>
      <c r="W136" s="20"/>
      <c r="X136" s="36"/>
      <c r="Y136" s="20"/>
      <c r="Z136" s="36"/>
      <c r="AA136" s="20"/>
      <c r="AB136" s="36"/>
      <c r="AC136" s="20"/>
      <c r="AD136" s="36"/>
      <c r="AE136" s="20"/>
      <c r="AF136" s="36"/>
      <c r="AG136" s="20"/>
      <c r="AH136" s="49">
        <f t="shared" si="4"/>
        <v>0</v>
      </c>
      <c r="AI136" s="73">
        <f t="shared" si="4"/>
        <v>0</v>
      </c>
      <c r="AJ136" s="51"/>
      <c r="AK136" s="51"/>
      <c r="AL136" s="51"/>
      <c r="AM136" s="52"/>
      <c r="AN136" s="51"/>
      <c r="AO136" s="51"/>
    </row>
    <row r="137" spans="1:41">
      <c r="A137" s="54" t="s">
        <v>28</v>
      </c>
      <c r="B137" s="58">
        <v>100</v>
      </c>
      <c r="C137" s="48" t="s">
        <v>29</v>
      </c>
      <c r="D137" s="55" t="s">
        <v>35</v>
      </c>
      <c r="E137" s="53">
        <v>2015</v>
      </c>
      <c r="F137" s="55"/>
      <c r="G137" s="55"/>
      <c r="H137" s="55"/>
      <c r="I137" s="56"/>
      <c r="J137" s="57"/>
      <c r="K137" s="20"/>
      <c r="L137" s="69"/>
      <c r="M137" s="25"/>
      <c r="N137" s="57"/>
      <c r="O137" s="20"/>
      <c r="P137" s="69"/>
      <c r="Q137" s="25"/>
      <c r="R137" s="57"/>
      <c r="S137" s="20"/>
      <c r="T137" s="69"/>
      <c r="U137" s="25"/>
      <c r="V137" s="57"/>
      <c r="W137" s="20"/>
      <c r="X137" s="36"/>
      <c r="Y137" s="20"/>
      <c r="Z137" s="36"/>
      <c r="AA137" s="20"/>
      <c r="AB137" s="36"/>
      <c r="AC137" s="20"/>
      <c r="AD137" s="36"/>
      <c r="AE137" s="20"/>
      <c r="AF137" s="36"/>
      <c r="AG137" s="20"/>
      <c r="AH137" s="49">
        <f t="shared" si="4"/>
        <v>0</v>
      </c>
      <c r="AI137" s="73">
        <f t="shared" si="4"/>
        <v>0</v>
      </c>
      <c r="AJ137" s="51"/>
      <c r="AK137" s="51"/>
      <c r="AL137" s="51"/>
      <c r="AM137" s="52"/>
      <c r="AN137" s="51"/>
      <c r="AO137" s="51"/>
    </row>
    <row r="138" spans="1:41">
      <c r="A138" s="54" t="s">
        <v>28</v>
      </c>
      <c r="B138" s="58">
        <v>100</v>
      </c>
      <c r="C138" s="48" t="s">
        <v>29</v>
      </c>
      <c r="D138" s="55" t="s">
        <v>35</v>
      </c>
      <c r="E138" s="53">
        <v>2015</v>
      </c>
      <c r="F138" s="55"/>
      <c r="G138" s="55"/>
      <c r="H138" s="55"/>
      <c r="I138" s="56"/>
      <c r="J138" s="57"/>
      <c r="K138" s="20"/>
      <c r="L138" s="69"/>
      <c r="M138" s="25"/>
      <c r="N138" s="57"/>
      <c r="O138" s="20"/>
      <c r="P138" s="69"/>
      <c r="Q138" s="25"/>
      <c r="R138" s="57"/>
      <c r="S138" s="20"/>
      <c r="T138" s="69"/>
      <c r="U138" s="25"/>
      <c r="V138" s="57"/>
      <c r="W138" s="20"/>
      <c r="X138" s="36"/>
      <c r="Y138" s="20"/>
      <c r="Z138" s="36"/>
      <c r="AA138" s="20"/>
      <c r="AB138" s="36"/>
      <c r="AC138" s="20"/>
      <c r="AD138" s="36"/>
      <c r="AE138" s="20"/>
      <c r="AF138" s="36"/>
      <c r="AG138" s="20"/>
      <c r="AH138" s="49">
        <f t="shared" si="4"/>
        <v>0</v>
      </c>
      <c r="AI138" s="73">
        <f t="shared" si="4"/>
        <v>0</v>
      </c>
      <c r="AJ138" s="51"/>
      <c r="AK138" s="51"/>
      <c r="AL138" s="51"/>
      <c r="AM138" s="52"/>
      <c r="AN138" s="51"/>
      <c r="AO138" s="51"/>
    </row>
    <row r="139" spans="1:41">
      <c r="A139" s="54" t="s">
        <v>28</v>
      </c>
      <c r="B139" s="58">
        <v>100</v>
      </c>
      <c r="C139" s="48" t="s">
        <v>29</v>
      </c>
      <c r="D139" s="55" t="s">
        <v>35</v>
      </c>
      <c r="E139" s="53">
        <v>2015</v>
      </c>
      <c r="F139" s="55"/>
      <c r="G139" s="55"/>
      <c r="H139" s="55"/>
      <c r="I139" s="56"/>
      <c r="J139" s="57"/>
      <c r="K139" s="20"/>
      <c r="L139" s="69"/>
      <c r="M139" s="25"/>
      <c r="N139" s="57"/>
      <c r="O139" s="20"/>
      <c r="P139" s="69"/>
      <c r="Q139" s="25"/>
      <c r="R139" s="57"/>
      <c r="S139" s="20"/>
      <c r="T139" s="69"/>
      <c r="U139" s="25"/>
      <c r="V139" s="57"/>
      <c r="W139" s="20"/>
      <c r="X139" s="36"/>
      <c r="Y139" s="20"/>
      <c r="Z139" s="36"/>
      <c r="AA139" s="20"/>
      <c r="AB139" s="36"/>
      <c r="AC139" s="20"/>
      <c r="AD139" s="36"/>
      <c r="AE139" s="20"/>
      <c r="AF139" s="36"/>
      <c r="AG139" s="20"/>
      <c r="AH139" s="49">
        <f t="shared" si="4"/>
        <v>0</v>
      </c>
      <c r="AI139" s="73">
        <f t="shared" si="4"/>
        <v>0</v>
      </c>
      <c r="AJ139" s="51"/>
      <c r="AK139" s="51"/>
      <c r="AL139" s="51"/>
      <c r="AM139" s="52"/>
      <c r="AN139" s="51"/>
      <c r="AO139" s="51"/>
    </row>
    <row r="140" spans="1:41">
      <c r="A140" s="54" t="s">
        <v>28</v>
      </c>
      <c r="B140" s="58">
        <v>100</v>
      </c>
      <c r="C140" s="48" t="s">
        <v>29</v>
      </c>
      <c r="D140" s="55" t="s">
        <v>35</v>
      </c>
      <c r="E140" s="53">
        <v>2015</v>
      </c>
      <c r="F140" s="55"/>
      <c r="G140" s="55"/>
      <c r="H140" s="55"/>
      <c r="I140" s="56"/>
      <c r="J140" s="57"/>
      <c r="K140" s="20"/>
      <c r="L140" s="69"/>
      <c r="M140" s="25"/>
      <c r="N140" s="57"/>
      <c r="O140" s="20"/>
      <c r="P140" s="69"/>
      <c r="Q140" s="25"/>
      <c r="R140" s="57"/>
      <c r="S140" s="20"/>
      <c r="T140" s="69"/>
      <c r="U140" s="25"/>
      <c r="V140" s="57"/>
      <c r="W140" s="20"/>
      <c r="X140" s="36"/>
      <c r="Y140" s="20"/>
      <c r="Z140" s="36"/>
      <c r="AA140" s="20"/>
      <c r="AB140" s="36"/>
      <c r="AC140" s="20"/>
      <c r="AD140" s="36"/>
      <c r="AE140" s="20"/>
      <c r="AF140" s="36"/>
      <c r="AG140" s="20"/>
      <c r="AH140" s="49">
        <f t="shared" si="4"/>
        <v>0</v>
      </c>
      <c r="AI140" s="73">
        <f t="shared" si="4"/>
        <v>0</v>
      </c>
      <c r="AJ140" s="51"/>
      <c r="AK140" s="51"/>
      <c r="AL140" s="51"/>
      <c r="AM140" s="52"/>
      <c r="AN140" s="51"/>
      <c r="AO140" s="51"/>
    </row>
    <row r="141" spans="1:41">
      <c r="A141" s="54" t="s">
        <v>28</v>
      </c>
      <c r="B141" s="58">
        <v>100</v>
      </c>
      <c r="C141" s="48" t="s">
        <v>29</v>
      </c>
      <c r="D141" s="55" t="s">
        <v>35</v>
      </c>
      <c r="E141" s="53">
        <v>2015</v>
      </c>
      <c r="F141" s="55"/>
      <c r="G141" s="55"/>
      <c r="H141" s="55"/>
      <c r="I141" s="56"/>
      <c r="J141" s="57"/>
      <c r="K141" s="20"/>
      <c r="L141" s="69"/>
      <c r="M141" s="25"/>
      <c r="N141" s="57"/>
      <c r="O141" s="20"/>
      <c r="P141" s="69"/>
      <c r="Q141" s="25"/>
      <c r="R141" s="57"/>
      <c r="S141" s="20"/>
      <c r="T141" s="69"/>
      <c r="U141" s="25"/>
      <c r="V141" s="57"/>
      <c r="W141" s="20"/>
      <c r="X141" s="36"/>
      <c r="Y141" s="20"/>
      <c r="Z141" s="36"/>
      <c r="AA141" s="20"/>
      <c r="AB141" s="36"/>
      <c r="AC141" s="20"/>
      <c r="AD141" s="36"/>
      <c r="AE141" s="20"/>
      <c r="AF141" s="36"/>
      <c r="AG141" s="20"/>
      <c r="AH141" s="49">
        <f t="shared" si="4"/>
        <v>0</v>
      </c>
      <c r="AI141" s="73">
        <f t="shared" si="4"/>
        <v>0</v>
      </c>
      <c r="AJ141" s="51"/>
      <c r="AK141" s="51"/>
      <c r="AL141" s="51"/>
      <c r="AM141" s="52"/>
      <c r="AN141" s="51"/>
      <c r="AO141" s="51"/>
    </row>
    <row r="142" spans="1:41">
      <c r="A142" s="54" t="s">
        <v>28</v>
      </c>
      <c r="B142" s="58">
        <v>100</v>
      </c>
      <c r="C142" s="48" t="s">
        <v>29</v>
      </c>
      <c r="D142" s="55" t="s">
        <v>35</v>
      </c>
      <c r="E142" s="53">
        <v>2015</v>
      </c>
      <c r="F142" s="55"/>
      <c r="G142" s="55"/>
      <c r="H142" s="55"/>
      <c r="I142" s="56"/>
      <c r="J142" s="57"/>
      <c r="K142" s="20"/>
      <c r="L142" s="69"/>
      <c r="M142" s="25"/>
      <c r="N142" s="57"/>
      <c r="O142" s="20"/>
      <c r="P142" s="69"/>
      <c r="Q142" s="25"/>
      <c r="R142" s="57"/>
      <c r="S142" s="20"/>
      <c r="T142" s="69"/>
      <c r="U142" s="25"/>
      <c r="V142" s="57"/>
      <c r="W142" s="20"/>
      <c r="X142" s="36"/>
      <c r="Y142" s="20"/>
      <c r="Z142" s="36"/>
      <c r="AA142" s="20"/>
      <c r="AB142" s="36"/>
      <c r="AC142" s="20"/>
      <c r="AD142" s="36"/>
      <c r="AE142" s="20"/>
      <c r="AF142" s="36"/>
      <c r="AG142" s="20"/>
      <c r="AH142" s="49">
        <f t="shared" si="4"/>
        <v>0</v>
      </c>
      <c r="AI142" s="73">
        <f t="shared" si="4"/>
        <v>0</v>
      </c>
      <c r="AJ142" s="51"/>
      <c r="AK142" s="51"/>
      <c r="AL142" s="51"/>
      <c r="AM142" s="52"/>
      <c r="AN142" s="51"/>
      <c r="AO142" s="51"/>
    </row>
    <row r="143" spans="1:41">
      <c r="A143" s="54" t="s">
        <v>28</v>
      </c>
      <c r="B143" s="58">
        <v>100</v>
      </c>
      <c r="C143" s="48" t="s">
        <v>29</v>
      </c>
      <c r="D143" s="55" t="s">
        <v>35</v>
      </c>
      <c r="E143" s="53">
        <v>2015</v>
      </c>
      <c r="F143" s="55"/>
      <c r="G143" s="55"/>
      <c r="H143" s="55"/>
      <c r="I143" s="56"/>
      <c r="J143" s="57"/>
      <c r="K143" s="20"/>
      <c r="L143" s="69"/>
      <c r="M143" s="25"/>
      <c r="N143" s="57"/>
      <c r="O143" s="20"/>
      <c r="P143" s="69"/>
      <c r="Q143" s="25"/>
      <c r="R143" s="57"/>
      <c r="S143" s="20"/>
      <c r="T143" s="69"/>
      <c r="U143" s="25"/>
      <c r="V143" s="57"/>
      <c r="W143" s="20"/>
      <c r="X143" s="36"/>
      <c r="Y143" s="20"/>
      <c r="Z143" s="36"/>
      <c r="AA143" s="20"/>
      <c r="AB143" s="36"/>
      <c r="AC143" s="20"/>
      <c r="AD143" s="36"/>
      <c r="AE143" s="20"/>
      <c r="AF143" s="36"/>
      <c r="AG143" s="20"/>
      <c r="AH143" s="49">
        <f t="shared" si="4"/>
        <v>0</v>
      </c>
      <c r="AI143" s="73">
        <f t="shared" si="4"/>
        <v>0</v>
      </c>
      <c r="AJ143" s="51"/>
      <c r="AK143" s="51"/>
      <c r="AL143" s="51"/>
      <c r="AM143" s="52"/>
      <c r="AN143" s="51"/>
      <c r="AO143" s="51"/>
    </row>
    <row r="144" spans="1:41">
      <c r="A144" s="54" t="s">
        <v>28</v>
      </c>
      <c r="B144" s="58">
        <v>100</v>
      </c>
      <c r="C144" s="48" t="s">
        <v>29</v>
      </c>
      <c r="D144" s="55" t="s">
        <v>35</v>
      </c>
      <c r="E144" s="53">
        <v>2015</v>
      </c>
      <c r="F144" s="55"/>
      <c r="G144" s="55"/>
      <c r="H144" s="55"/>
      <c r="I144" s="56"/>
      <c r="J144" s="57"/>
      <c r="K144" s="20"/>
      <c r="L144" s="69"/>
      <c r="M144" s="25"/>
      <c r="N144" s="57"/>
      <c r="O144" s="20"/>
      <c r="P144" s="69"/>
      <c r="Q144" s="25"/>
      <c r="R144" s="57"/>
      <c r="S144" s="20"/>
      <c r="T144" s="69"/>
      <c r="U144" s="25"/>
      <c r="V144" s="57"/>
      <c r="W144" s="20"/>
      <c r="X144" s="36"/>
      <c r="Y144" s="20"/>
      <c r="Z144" s="36"/>
      <c r="AA144" s="20"/>
      <c r="AB144" s="36"/>
      <c r="AC144" s="20"/>
      <c r="AD144" s="36"/>
      <c r="AE144" s="20"/>
      <c r="AF144" s="36"/>
      <c r="AG144" s="20"/>
      <c r="AH144" s="49">
        <f t="shared" si="4"/>
        <v>0</v>
      </c>
      <c r="AI144" s="73">
        <f t="shared" si="4"/>
        <v>0</v>
      </c>
      <c r="AJ144" s="51"/>
      <c r="AK144" s="51"/>
      <c r="AL144" s="51"/>
      <c r="AM144" s="52"/>
      <c r="AN144" s="51"/>
      <c r="AO144" s="51"/>
    </row>
    <row r="145" spans="1:41">
      <c r="A145" s="54" t="s">
        <v>28</v>
      </c>
      <c r="B145" s="58">
        <v>100</v>
      </c>
      <c r="C145" s="48" t="s">
        <v>29</v>
      </c>
      <c r="D145" s="55" t="s">
        <v>35</v>
      </c>
      <c r="E145" s="53">
        <v>2015</v>
      </c>
      <c r="F145" s="55"/>
      <c r="G145" s="55"/>
      <c r="H145" s="55"/>
      <c r="I145" s="56"/>
      <c r="J145" s="57"/>
      <c r="K145" s="20"/>
      <c r="L145" s="69"/>
      <c r="M145" s="25"/>
      <c r="N145" s="57"/>
      <c r="O145" s="20"/>
      <c r="P145" s="69"/>
      <c r="Q145" s="25"/>
      <c r="R145" s="57"/>
      <c r="S145" s="20"/>
      <c r="T145" s="69"/>
      <c r="U145" s="25"/>
      <c r="V145" s="57"/>
      <c r="W145" s="20"/>
      <c r="X145" s="36"/>
      <c r="Y145" s="20"/>
      <c r="Z145" s="36"/>
      <c r="AA145" s="20"/>
      <c r="AB145" s="36"/>
      <c r="AC145" s="20"/>
      <c r="AD145" s="36"/>
      <c r="AE145" s="20"/>
      <c r="AF145" s="36"/>
      <c r="AG145" s="20"/>
      <c r="AH145" s="49">
        <f t="shared" si="4"/>
        <v>0</v>
      </c>
      <c r="AI145" s="73">
        <f t="shared" si="4"/>
        <v>0</v>
      </c>
      <c r="AJ145" s="51"/>
      <c r="AK145" s="51"/>
      <c r="AL145" s="51"/>
      <c r="AM145" s="52"/>
      <c r="AN145" s="51"/>
      <c r="AO145" s="51"/>
    </row>
    <row r="146" spans="1:41">
      <c r="A146" s="54" t="s">
        <v>28</v>
      </c>
      <c r="B146" s="58">
        <v>100</v>
      </c>
      <c r="C146" s="48" t="s">
        <v>29</v>
      </c>
      <c r="D146" s="55" t="s">
        <v>35</v>
      </c>
      <c r="E146" s="53">
        <v>2015</v>
      </c>
      <c r="F146" s="55"/>
      <c r="G146" s="55"/>
      <c r="H146" s="55"/>
      <c r="I146" s="56"/>
      <c r="J146" s="57"/>
      <c r="K146" s="20"/>
      <c r="L146" s="69"/>
      <c r="M146" s="25"/>
      <c r="N146" s="57"/>
      <c r="O146" s="20"/>
      <c r="P146" s="69"/>
      <c r="Q146" s="25"/>
      <c r="R146" s="57"/>
      <c r="S146" s="20"/>
      <c r="T146" s="69"/>
      <c r="U146" s="25"/>
      <c r="V146" s="57"/>
      <c r="W146" s="20"/>
      <c r="X146" s="36"/>
      <c r="Y146" s="20"/>
      <c r="Z146" s="36"/>
      <c r="AA146" s="20"/>
      <c r="AB146" s="36"/>
      <c r="AC146" s="20"/>
      <c r="AD146" s="36"/>
      <c r="AE146" s="20"/>
      <c r="AF146" s="36"/>
      <c r="AG146" s="20"/>
      <c r="AH146" s="49">
        <f t="shared" si="4"/>
        <v>0</v>
      </c>
      <c r="AI146" s="73">
        <f t="shared" si="4"/>
        <v>0</v>
      </c>
      <c r="AJ146" s="51"/>
      <c r="AK146" s="51"/>
      <c r="AL146" s="51"/>
      <c r="AM146" s="52"/>
      <c r="AN146" s="51"/>
      <c r="AO146" s="51"/>
    </row>
    <row r="147" spans="1:41">
      <c r="A147" s="54" t="s">
        <v>28</v>
      </c>
      <c r="B147" s="58">
        <v>100</v>
      </c>
      <c r="C147" s="48" t="s">
        <v>29</v>
      </c>
      <c r="D147" s="55" t="s">
        <v>35</v>
      </c>
      <c r="E147" s="53">
        <v>2015</v>
      </c>
      <c r="F147" s="55"/>
      <c r="G147" s="55"/>
      <c r="H147" s="55"/>
      <c r="I147" s="56"/>
      <c r="J147" s="57"/>
      <c r="K147" s="20"/>
      <c r="L147" s="69"/>
      <c r="M147" s="25"/>
      <c r="N147" s="57"/>
      <c r="O147" s="20"/>
      <c r="P147" s="69"/>
      <c r="Q147" s="25"/>
      <c r="R147" s="57"/>
      <c r="S147" s="20"/>
      <c r="T147" s="69"/>
      <c r="U147" s="25"/>
      <c r="V147" s="57"/>
      <c r="W147" s="20"/>
      <c r="X147" s="36"/>
      <c r="Y147" s="20"/>
      <c r="Z147" s="36"/>
      <c r="AA147" s="20"/>
      <c r="AB147" s="36"/>
      <c r="AC147" s="20"/>
      <c r="AD147" s="36"/>
      <c r="AE147" s="20"/>
      <c r="AF147" s="36"/>
      <c r="AG147" s="20"/>
      <c r="AH147" s="49">
        <f t="shared" si="4"/>
        <v>0</v>
      </c>
      <c r="AI147" s="73">
        <f t="shared" si="4"/>
        <v>0</v>
      </c>
      <c r="AJ147" s="51"/>
      <c r="AK147" s="51"/>
      <c r="AL147" s="51"/>
      <c r="AM147" s="52"/>
      <c r="AN147" s="51"/>
      <c r="AO147" s="51"/>
    </row>
    <row r="148" spans="1:41">
      <c r="A148" s="54" t="s">
        <v>28</v>
      </c>
      <c r="B148" s="58">
        <v>100</v>
      </c>
      <c r="C148" s="48" t="s">
        <v>29</v>
      </c>
      <c r="D148" s="55" t="s">
        <v>35</v>
      </c>
      <c r="E148" s="53">
        <v>2015</v>
      </c>
      <c r="F148" s="55"/>
      <c r="G148" s="55"/>
      <c r="H148" s="55"/>
      <c r="I148" s="56"/>
      <c r="J148" s="57"/>
      <c r="K148" s="20"/>
      <c r="L148" s="69"/>
      <c r="M148" s="25"/>
      <c r="N148" s="57"/>
      <c r="O148" s="20"/>
      <c r="P148" s="69"/>
      <c r="Q148" s="25"/>
      <c r="R148" s="57"/>
      <c r="S148" s="20"/>
      <c r="T148" s="69"/>
      <c r="U148" s="25"/>
      <c r="V148" s="57"/>
      <c r="W148" s="20"/>
      <c r="X148" s="36"/>
      <c r="Y148" s="20"/>
      <c r="Z148" s="36"/>
      <c r="AA148" s="20"/>
      <c r="AB148" s="36"/>
      <c r="AC148" s="20"/>
      <c r="AD148" s="36"/>
      <c r="AE148" s="20"/>
      <c r="AF148" s="36"/>
      <c r="AG148" s="20"/>
      <c r="AH148" s="49">
        <f t="shared" si="4"/>
        <v>0</v>
      </c>
      <c r="AI148" s="73">
        <f t="shared" si="4"/>
        <v>0</v>
      </c>
      <c r="AJ148" s="51"/>
      <c r="AK148" s="51"/>
      <c r="AL148" s="51"/>
      <c r="AM148" s="52"/>
      <c r="AN148" s="51"/>
      <c r="AO148" s="51"/>
    </row>
    <row r="149" spans="1:41">
      <c r="A149" s="54" t="s">
        <v>28</v>
      </c>
      <c r="B149" s="58">
        <v>100</v>
      </c>
      <c r="C149" s="48" t="s">
        <v>29</v>
      </c>
      <c r="D149" s="55" t="s">
        <v>35</v>
      </c>
      <c r="E149" s="53">
        <v>2015</v>
      </c>
      <c r="F149" s="55"/>
      <c r="G149" s="55"/>
      <c r="H149" s="55"/>
      <c r="I149" s="56"/>
      <c r="J149" s="57"/>
      <c r="K149" s="20"/>
      <c r="L149" s="69"/>
      <c r="M149" s="25"/>
      <c r="N149" s="57"/>
      <c r="O149" s="20"/>
      <c r="P149" s="69"/>
      <c r="Q149" s="25"/>
      <c r="R149" s="57"/>
      <c r="S149" s="20"/>
      <c r="T149" s="69"/>
      <c r="U149" s="25"/>
      <c r="V149" s="57"/>
      <c r="W149" s="20"/>
      <c r="X149" s="36"/>
      <c r="Y149" s="20"/>
      <c r="Z149" s="36"/>
      <c r="AA149" s="20"/>
      <c r="AB149" s="36"/>
      <c r="AC149" s="20"/>
      <c r="AD149" s="36"/>
      <c r="AE149" s="20"/>
      <c r="AF149" s="36"/>
      <c r="AG149" s="20"/>
      <c r="AH149" s="49">
        <f t="shared" si="4"/>
        <v>0</v>
      </c>
      <c r="AI149" s="73">
        <f t="shared" si="4"/>
        <v>0</v>
      </c>
      <c r="AJ149" s="51"/>
      <c r="AK149" s="51"/>
      <c r="AL149" s="51"/>
      <c r="AM149" s="52"/>
      <c r="AN149" s="51"/>
      <c r="AO149" s="51"/>
    </row>
    <row r="150" spans="1:41">
      <c r="A150" s="54" t="s">
        <v>28</v>
      </c>
      <c r="B150" s="58">
        <v>100</v>
      </c>
      <c r="C150" s="48" t="s">
        <v>29</v>
      </c>
      <c r="D150" s="55" t="s">
        <v>35</v>
      </c>
      <c r="E150" s="53">
        <v>2015</v>
      </c>
      <c r="F150" s="55"/>
      <c r="G150" s="55"/>
      <c r="H150" s="55"/>
      <c r="I150" s="56"/>
      <c r="J150" s="57"/>
      <c r="K150" s="20"/>
      <c r="L150" s="69"/>
      <c r="M150" s="25"/>
      <c r="N150" s="57"/>
      <c r="O150" s="20"/>
      <c r="P150" s="69"/>
      <c r="Q150" s="25"/>
      <c r="R150" s="57"/>
      <c r="S150" s="20"/>
      <c r="T150" s="69"/>
      <c r="U150" s="25"/>
      <c r="V150" s="57"/>
      <c r="W150" s="20"/>
      <c r="X150" s="36"/>
      <c r="Y150" s="20"/>
      <c r="Z150" s="36"/>
      <c r="AA150" s="20"/>
      <c r="AB150" s="36"/>
      <c r="AC150" s="20"/>
      <c r="AD150" s="36"/>
      <c r="AE150" s="20"/>
      <c r="AF150" s="36"/>
      <c r="AG150" s="20"/>
      <c r="AH150" s="49">
        <f t="shared" si="4"/>
        <v>0</v>
      </c>
      <c r="AI150" s="73">
        <f t="shared" si="4"/>
        <v>0</v>
      </c>
      <c r="AJ150" s="51"/>
      <c r="AK150" s="51"/>
      <c r="AL150" s="51"/>
      <c r="AM150" s="52"/>
      <c r="AN150" s="51"/>
      <c r="AO150" s="51"/>
    </row>
    <row r="151" spans="1:41">
      <c r="A151" s="54" t="s">
        <v>28</v>
      </c>
      <c r="B151" s="58">
        <v>100</v>
      </c>
      <c r="C151" s="48" t="s">
        <v>29</v>
      </c>
      <c r="D151" s="55" t="s">
        <v>35</v>
      </c>
      <c r="E151" s="53">
        <v>2015</v>
      </c>
      <c r="F151" s="55"/>
      <c r="G151" s="55"/>
      <c r="H151" s="55"/>
      <c r="I151" s="56"/>
      <c r="J151" s="57"/>
      <c r="K151" s="20"/>
      <c r="L151" s="69"/>
      <c r="M151" s="25"/>
      <c r="N151" s="57"/>
      <c r="O151" s="20"/>
      <c r="P151" s="69"/>
      <c r="Q151" s="25"/>
      <c r="R151" s="57"/>
      <c r="S151" s="20"/>
      <c r="T151" s="69"/>
      <c r="U151" s="25"/>
      <c r="V151" s="57"/>
      <c r="W151" s="20"/>
      <c r="X151" s="36"/>
      <c r="Y151" s="20"/>
      <c r="Z151" s="36"/>
      <c r="AA151" s="20"/>
      <c r="AB151" s="36"/>
      <c r="AC151" s="20"/>
      <c r="AD151" s="36"/>
      <c r="AE151" s="20"/>
      <c r="AF151" s="36"/>
      <c r="AG151" s="20"/>
      <c r="AH151" s="49">
        <f t="shared" si="4"/>
        <v>0</v>
      </c>
      <c r="AI151" s="73">
        <f t="shared" si="4"/>
        <v>0</v>
      </c>
      <c r="AJ151" s="51"/>
      <c r="AK151" s="51"/>
      <c r="AL151" s="51"/>
      <c r="AM151" s="52"/>
      <c r="AN151" s="51"/>
      <c r="AO151" s="51"/>
    </row>
    <row r="152" spans="1:41">
      <c r="A152" s="54" t="s">
        <v>28</v>
      </c>
      <c r="B152" s="58">
        <v>100</v>
      </c>
      <c r="C152" s="48" t="s">
        <v>29</v>
      </c>
      <c r="D152" s="55" t="s">
        <v>35</v>
      </c>
      <c r="E152" s="53">
        <v>2015</v>
      </c>
      <c r="F152" s="55"/>
      <c r="G152" s="55"/>
      <c r="H152" s="55"/>
      <c r="I152" s="56"/>
      <c r="J152" s="57"/>
      <c r="K152" s="20"/>
      <c r="L152" s="69"/>
      <c r="M152" s="25"/>
      <c r="N152" s="57"/>
      <c r="O152" s="20"/>
      <c r="P152" s="69"/>
      <c r="Q152" s="25"/>
      <c r="R152" s="57"/>
      <c r="S152" s="20"/>
      <c r="T152" s="69"/>
      <c r="U152" s="25"/>
      <c r="V152" s="57"/>
      <c r="W152" s="20"/>
      <c r="X152" s="36"/>
      <c r="Y152" s="20"/>
      <c r="Z152" s="36"/>
      <c r="AA152" s="20"/>
      <c r="AB152" s="36"/>
      <c r="AC152" s="20"/>
      <c r="AD152" s="36"/>
      <c r="AE152" s="20"/>
      <c r="AF152" s="36"/>
      <c r="AG152" s="20"/>
      <c r="AH152" s="49">
        <f t="shared" si="4"/>
        <v>0</v>
      </c>
      <c r="AI152" s="73">
        <f t="shared" si="4"/>
        <v>0</v>
      </c>
      <c r="AJ152" s="51"/>
      <c r="AK152" s="51"/>
      <c r="AL152" s="51"/>
      <c r="AM152" s="52"/>
      <c r="AN152" s="51"/>
      <c r="AO152" s="51"/>
    </row>
    <row r="153" spans="1:41">
      <c r="A153" s="54" t="s">
        <v>28</v>
      </c>
      <c r="B153" s="58">
        <v>100</v>
      </c>
      <c r="C153" s="48" t="s">
        <v>29</v>
      </c>
      <c r="D153" s="55" t="s">
        <v>35</v>
      </c>
      <c r="E153" s="53">
        <v>2015</v>
      </c>
      <c r="F153" s="55"/>
      <c r="G153" s="55"/>
      <c r="H153" s="55"/>
      <c r="I153" s="56"/>
      <c r="J153" s="57"/>
      <c r="K153" s="20"/>
      <c r="L153" s="69"/>
      <c r="M153" s="25"/>
      <c r="N153" s="57"/>
      <c r="O153" s="20"/>
      <c r="P153" s="69"/>
      <c r="Q153" s="25"/>
      <c r="R153" s="57"/>
      <c r="S153" s="20"/>
      <c r="T153" s="69"/>
      <c r="U153" s="25"/>
      <c r="V153" s="57"/>
      <c r="W153" s="20"/>
      <c r="X153" s="36"/>
      <c r="Y153" s="20"/>
      <c r="Z153" s="36"/>
      <c r="AA153" s="20"/>
      <c r="AB153" s="36"/>
      <c r="AC153" s="20"/>
      <c r="AD153" s="36"/>
      <c r="AE153" s="20"/>
      <c r="AF153" s="36"/>
      <c r="AG153" s="20"/>
      <c r="AH153" s="49">
        <f t="shared" si="4"/>
        <v>0</v>
      </c>
      <c r="AI153" s="73">
        <f t="shared" si="4"/>
        <v>0</v>
      </c>
      <c r="AJ153" s="51"/>
      <c r="AK153" s="51"/>
      <c r="AL153" s="51"/>
      <c r="AM153" s="52"/>
      <c r="AN153" s="51"/>
      <c r="AO153" s="51"/>
    </row>
    <row r="154" spans="1:41">
      <c r="A154" s="54" t="s">
        <v>28</v>
      </c>
      <c r="B154" s="58">
        <v>100</v>
      </c>
      <c r="C154" s="48" t="s">
        <v>29</v>
      </c>
      <c r="D154" s="55" t="s">
        <v>35</v>
      </c>
      <c r="E154" s="53">
        <v>2015</v>
      </c>
      <c r="F154" s="55"/>
      <c r="G154" s="55"/>
      <c r="H154" s="55"/>
      <c r="I154" s="56"/>
      <c r="J154" s="57"/>
      <c r="K154" s="20"/>
      <c r="L154" s="69"/>
      <c r="M154" s="25"/>
      <c r="N154" s="57"/>
      <c r="O154" s="20"/>
      <c r="P154" s="69"/>
      <c r="Q154" s="25"/>
      <c r="R154" s="57"/>
      <c r="S154" s="20"/>
      <c r="T154" s="69"/>
      <c r="U154" s="25"/>
      <c r="V154" s="57"/>
      <c r="W154" s="20"/>
      <c r="X154" s="36"/>
      <c r="Y154" s="20"/>
      <c r="Z154" s="36"/>
      <c r="AA154" s="20"/>
      <c r="AB154" s="36"/>
      <c r="AC154" s="20"/>
      <c r="AD154" s="36"/>
      <c r="AE154" s="20"/>
      <c r="AF154" s="36"/>
      <c r="AG154" s="20"/>
      <c r="AH154" s="49">
        <f t="shared" si="4"/>
        <v>0</v>
      </c>
      <c r="AI154" s="73">
        <f t="shared" si="4"/>
        <v>0</v>
      </c>
      <c r="AJ154" s="51"/>
      <c r="AK154" s="51"/>
      <c r="AL154" s="51"/>
      <c r="AM154" s="52"/>
      <c r="AN154" s="51"/>
      <c r="AO154" s="51"/>
    </row>
    <row r="155" spans="1:41">
      <c r="A155" s="54" t="s">
        <v>28</v>
      </c>
      <c r="B155" s="58">
        <v>100</v>
      </c>
      <c r="C155" s="48" t="s">
        <v>29</v>
      </c>
      <c r="D155" s="55" t="s">
        <v>35</v>
      </c>
      <c r="E155" s="53">
        <v>2015</v>
      </c>
      <c r="F155" s="55"/>
      <c r="G155" s="55"/>
      <c r="H155" s="55"/>
      <c r="I155" s="56"/>
      <c r="J155" s="57"/>
      <c r="K155" s="20"/>
      <c r="L155" s="69"/>
      <c r="M155" s="25"/>
      <c r="N155" s="57"/>
      <c r="O155" s="20"/>
      <c r="P155" s="69"/>
      <c r="Q155" s="25"/>
      <c r="R155" s="57"/>
      <c r="S155" s="20"/>
      <c r="T155" s="69"/>
      <c r="U155" s="25"/>
      <c r="V155" s="57"/>
      <c r="W155" s="20"/>
      <c r="X155" s="36"/>
      <c r="Y155" s="20"/>
      <c r="Z155" s="36"/>
      <c r="AA155" s="20"/>
      <c r="AB155" s="36"/>
      <c r="AC155" s="20"/>
      <c r="AD155" s="36"/>
      <c r="AE155" s="20"/>
      <c r="AF155" s="36"/>
      <c r="AG155" s="20"/>
      <c r="AH155" s="49">
        <f t="shared" si="4"/>
        <v>0</v>
      </c>
      <c r="AI155" s="73">
        <f t="shared" si="4"/>
        <v>0</v>
      </c>
      <c r="AJ155" s="51"/>
      <c r="AK155" s="51"/>
      <c r="AL155" s="51"/>
      <c r="AM155" s="52"/>
      <c r="AN155" s="51"/>
      <c r="AO155" s="51"/>
    </row>
    <row r="156" spans="1:41">
      <c r="A156" s="54" t="s">
        <v>28</v>
      </c>
      <c r="B156" s="58">
        <v>100</v>
      </c>
      <c r="C156" s="48" t="s">
        <v>29</v>
      </c>
      <c r="D156" s="55" t="s">
        <v>35</v>
      </c>
      <c r="E156" s="53">
        <v>2015</v>
      </c>
      <c r="F156" s="55"/>
      <c r="G156" s="55"/>
      <c r="H156" s="55"/>
      <c r="I156" s="56"/>
      <c r="J156" s="57"/>
      <c r="K156" s="20"/>
      <c r="L156" s="69"/>
      <c r="M156" s="25"/>
      <c r="N156" s="57"/>
      <c r="O156" s="20"/>
      <c r="P156" s="69"/>
      <c r="Q156" s="25"/>
      <c r="R156" s="57"/>
      <c r="S156" s="20"/>
      <c r="T156" s="69"/>
      <c r="U156" s="25"/>
      <c r="V156" s="57"/>
      <c r="W156" s="20"/>
      <c r="X156" s="36"/>
      <c r="Y156" s="20"/>
      <c r="Z156" s="36"/>
      <c r="AA156" s="20"/>
      <c r="AB156" s="36"/>
      <c r="AC156" s="20"/>
      <c r="AD156" s="36"/>
      <c r="AE156" s="20"/>
      <c r="AF156" s="36"/>
      <c r="AG156" s="20"/>
      <c r="AH156" s="49">
        <f t="shared" si="4"/>
        <v>0</v>
      </c>
      <c r="AI156" s="73">
        <f t="shared" si="4"/>
        <v>0</v>
      </c>
      <c r="AJ156" s="51"/>
      <c r="AK156" s="51"/>
      <c r="AL156" s="51"/>
      <c r="AM156" s="52"/>
      <c r="AN156" s="51"/>
      <c r="AO156" s="51"/>
    </row>
    <row r="157" spans="1:41">
      <c r="A157" s="54" t="s">
        <v>28</v>
      </c>
      <c r="B157" s="58">
        <v>100</v>
      </c>
      <c r="C157" s="48" t="s">
        <v>29</v>
      </c>
      <c r="D157" s="55" t="s">
        <v>35</v>
      </c>
      <c r="E157" s="53">
        <v>2015</v>
      </c>
      <c r="F157" s="55"/>
      <c r="G157" s="55"/>
      <c r="H157" s="55"/>
      <c r="I157" s="56"/>
      <c r="J157" s="57"/>
      <c r="K157" s="20"/>
      <c r="L157" s="69"/>
      <c r="M157" s="25"/>
      <c r="N157" s="57"/>
      <c r="O157" s="20"/>
      <c r="P157" s="69"/>
      <c r="Q157" s="25"/>
      <c r="R157" s="57"/>
      <c r="S157" s="20"/>
      <c r="T157" s="69"/>
      <c r="U157" s="25"/>
      <c r="V157" s="57"/>
      <c r="W157" s="20"/>
      <c r="X157" s="36"/>
      <c r="Y157" s="20"/>
      <c r="Z157" s="36"/>
      <c r="AA157" s="20"/>
      <c r="AB157" s="36"/>
      <c r="AC157" s="20"/>
      <c r="AD157" s="36"/>
      <c r="AE157" s="20"/>
      <c r="AF157" s="36"/>
      <c r="AG157" s="20"/>
      <c r="AH157" s="49">
        <f t="shared" si="4"/>
        <v>0</v>
      </c>
      <c r="AI157" s="73">
        <f t="shared" si="4"/>
        <v>0</v>
      </c>
      <c r="AJ157" s="51"/>
      <c r="AK157" s="51"/>
      <c r="AL157" s="51"/>
      <c r="AM157" s="52"/>
      <c r="AN157" s="51"/>
      <c r="AO157" s="51"/>
    </row>
    <row r="158" spans="1:41">
      <c r="A158" s="54" t="s">
        <v>28</v>
      </c>
      <c r="B158" s="58">
        <v>100</v>
      </c>
      <c r="C158" s="48" t="s">
        <v>29</v>
      </c>
      <c r="D158" s="55" t="s">
        <v>35</v>
      </c>
      <c r="E158" s="53">
        <v>2015</v>
      </c>
      <c r="F158" s="55"/>
      <c r="G158" s="55"/>
      <c r="H158" s="55"/>
      <c r="I158" s="56"/>
      <c r="J158" s="57"/>
      <c r="K158" s="20"/>
      <c r="L158" s="69"/>
      <c r="M158" s="25"/>
      <c r="N158" s="57"/>
      <c r="O158" s="20"/>
      <c r="P158" s="69"/>
      <c r="Q158" s="25"/>
      <c r="R158" s="57"/>
      <c r="S158" s="20"/>
      <c r="T158" s="69"/>
      <c r="U158" s="25"/>
      <c r="V158" s="57"/>
      <c r="W158" s="20"/>
      <c r="X158" s="36"/>
      <c r="Y158" s="20"/>
      <c r="Z158" s="36"/>
      <c r="AA158" s="20"/>
      <c r="AB158" s="36"/>
      <c r="AC158" s="20"/>
      <c r="AD158" s="36"/>
      <c r="AE158" s="20"/>
      <c r="AF158" s="36"/>
      <c r="AG158" s="20"/>
      <c r="AH158" s="49">
        <f t="shared" si="4"/>
        <v>0</v>
      </c>
      <c r="AI158" s="73">
        <f t="shared" si="4"/>
        <v>0</v>
      </c>
      <c r="AJ158" s="51"/>
      <c r="AK158" s="51"/>
      <c r="AL158" s="51"/>
      <c r="AM158" s="52"/>
      <c r="AN158" s="51"/>
      <c r="AO158" s="51"/>
    </row>
    <row r="159" spans="1:41">
      <c r="A159" s="54" t="s">
        <v>28</v>
      </c>
      <c r="B159" s="58">
        <v>100</v>
      </c>
      <c r="C159" s="48" t="s">
        <v>29</v>
      </c>
      <c r="D159" s="55" t="s">
        <v>35</v>
      </c>
      <c r="E159" s="53">
        <v>2015</v>
      </c>
      <c r="F159" s="55"/>
      <c r="G159" s="55"/>
      <c r="H159" s="55"/>
      <c r="I159" s="56"/>
      <c r="J159" s="57"/>
      <c r="K159" s="20"/>
      <c r="L159" s="69"/>
      <c r="M159" s="25"/>
      <c r="N159" s="57"/>
      <c r="O159" s="20"/>
      <c r="P159" s="69"/>
      <c r="Q159" s="25"/>
      <c r="R159" s="57"/>
      <c r="S159" s="20"/>
      <c r="T159" s="69"/>
      <c r="U159" s="25"/>
      <c r="V159" s="57"/>
      <c r="W159" s="20"/>
      <c r="X159" s="36"/>
      <c r="Y159" s="20"/>
      <c r="Z159" s="36"/>
      <c r="AA159" s="20"/>
      <c r="AB159" s="36"/>
      <c r="AC159" s="20"/>
      <c r="AD159" s="36"/>
      <c r="AE159" s="20"/>
      <c r="AF159" s="36"/>
      <c r="AG159" s="20"/>
      <c r="AH159" s="49">
        <f t="shared" si="4"/>
        <v>0</v>
      </c>
      <c r="AI159" s="73">
        <f t="shared" si="4"/>
        <v>0</v>
      </c>
      <c r="AJ159" s="51"/>
      <c r="AK159" s="51"/>
      <c r="AL159" s="51"/>
      <c r="AM159" s="52"/>
      <c r="AN159" s="51"/>
      <c r="AO159" s="51"/>
    </row>
    <row r="160" spans="1:41">
      <c r="A160" s="54" t="s">
        <v>28</v>
      </c>
      <c r="B160" s="58">
        <v>100</v>
      </c>
      <c r="C160" s="48" t="s">
        <v>29</v>
      </c>
      <c r="D160" s="55" t="s">
        <v>35</v>
      </c>
      <c r="E160" s="53">
        <v>2015</v>
      </c>
      <c r="F160" s="55"/>
      <c r="G160" s="55"/>
      <c r="H160" s="55"/>
      <c r="I160" s="56"/>
      <c r="J160" s="57"/>
      <c r="K160" s="20"/>
      <c r="L160" s="69"/>
      <c r="M160" s="25"/>
      <c r="N160" s="57"/>
      <c r="O160" s="20"/>
      <c r="P160" s="69"/>
      <c r="Q160" s="25"/>
      <c r="R160" s="57"/>
      <c r="S160" s="20"/>
      <c r="T160" s="69"/>
      <c r="U160" s="25"/>
      <c r="V160" s="57"/>
      <c r="W160" s="20"/>
      <c r="X160" s="36"/>
      <c r="Y160" s="20"/>
      <c r="Z160" s="36"/>
      <c r="AA160" s="20"/>
      <c r="AB160" s="36"/>
      <c r="AC160" s="20"/>
      <c r="AD160" s="36"/>
      <c r="AE160" s="20"/>
      <c r="AF160" s="36"/>
      <c r="AG160" s="20"/>
      <c r="AH160" s="49">
        <f t="shared" si="4"/>
        <v>0</v>
      </c>
      <c r="AI160" s="73">
        <f t="shared" si="4"/>
        <v>0</v>
      </c>
      <c r="AJ160" s="51"/>
      <c r="AK160" s="51"/>
      <c r="AL160" s="51"/>
      <c r="AM160" s="52"/>
      <c r="AN160" s="51"/>
      <c r="AO160" s="51"/>
    </row>
    <row r="161" spans="1:41">
      <c r="A161" s="54" t="s">
        <v>28</v>
      </c>
      <c r="B161" s="58">
        <v>100</v>
      </c>
      <c r="C161" s="48" t="s">
        <v>29</v>
      </c>
      <c r="D161" s="55" t="s">
        <v>35</v>
      </c>
      <c r="E161" s="53">
        <v>2015</v>
      </c>
      <c r="F161" s="55"/>
      <c r="G161" s="55"/>
      <c r="H161" s="55"/>
      <c r="I161" s="56"/>
      <c r="J161" s="57"/>
      <c r="K161" s="20"/>
      <c r="L161" s="69"/>
      <c r="M161" s="25"/>
      <c r="N161" s="57"/>
      <c r="O161" s="20"/>
      <c r="P161" s="69"/>
      <c r="Q161" s="25"/>
      <c r="R161" s="57"/>
      <c r="S161" s="20"/>
      <c r="T161" s="69"/>
      <c r="U161" s="25"/>
      <c r="V161" s="57"/>
      <c r="W161" s="20"/>
      <c r="X161" s="36"/>
      <c r="Y161" s="20"/>
      <c r="Z161" s="36"/>
      <c r="AA161" s="20"/>
      <c r="AB161" s="36"/>
      <c r="AC161" s="20"/>
      <c r="AD161" s="36"/>
      <c r="AE161" s="20"/>
      <c r="AF161" s="36"/>
      <c r="AG161" s="20"/>
      <c r="AH161" s="49">
        <f t="shared" si="4"/>
        <v>0</v>
      </c>
      <c r="AI161" s="73">
        <f t="shared" si="4"/>
        <v>0</v>
      </c>
      <c r="AJ161" s="51"/>
      <c r="AK161" s="51"/>
      <c r="AL161" s="51"/>
      <c r="AM161" s="52"/>
      <c r="AN161" s="51"/>
      <c r="AO161" s="51"/>
    </row>
    <row r="162" spans="1:41">
      <c r="A162" s="54" t="s">
        <v>28</v>
      </c>
      <c r="B162" s="58">
        <v>100</v>
      </c>
      <c r="C162" s="48" t="s">
        <v>29</v>
      </c>
      <c r="D162" s="55" t="s">
        <v>35</v>
      </c>
      <c r="E162" s="53">
        <v>2015</v>
      </c>
      <c r="F162" s="55"/>
      <c r="G162" s="55"/>
      <c r="H162" s="55"/>
      <c r="I162" s="56"/>
      <c r="J162" s="57"/>
      <c r="K162" s="20"/>
      <c r="L162" s="69"/>
      <c r="M162" s="25"/>
      <c r="N162" s="57"/>
      <c r="O162" s="20"/>
      <c r="P162" s="69"/>
      <c r="Q162" s="25"/>
      <c r="R162" s="57"/>
      <c r="S162" s="20"/>
      <c r="T162" s="69"/>
      <c r="U162" s="25"/>
      <c r="V162" s="57"/>
      <c r="W162" s="20"/>
      <c r="X162" s="36"/>
      <c r="Y162" s="20"/>
      <c r="Z162" s="36"/>
      <c r="AA162" s="20"/>
      <c r="AB162" s="36"/>
      <c r="AC162" s="20"/>
      <c r="AD162" s="36"/>
      <c r="AE162" s="20"/>
      <c r="AF162" s="36"/>
      <c r="AG162" s="20"/>
      <c r="AH162" s="49">
        <f t="shared" si="4"/>
        <v>0</v>
      </c>
      <c r="AI162" s="73">
        <f t="shared" si="4"/>
        <v>0</v>
      </c>
      <c r="AJ162" s="51"/>
      <c r="AK162" s="51"/>
      <c r="AL162" s="51"/>
      <c r="AM162" s="52"/>
      <c r="AN162" s="51"/>
      <c r="AO162" s="51"/>
    </row>
    <row r="163" spans="1:41">
      <c r="A163" s="54" t="s">
        <v>28</v>
      </c>
      <c r="B163" s="58">
        <v>100</v>
      </c>
      <c r="C163" s="48" t="s">
        <v>29</v>
      </c>
      <c r="D163" s="55" t="s">
        <v>35</v>
      </c>
      <c r="E163" s="53">
        <v>2015</v>
      </c>
      <c r="F163" s="55"/>
      <c r="G163" s="55"/>
      <c r="H163" s="55"/>
      <c r="I163" s="56"/>
      <c r="J163" s="57"/>
      <c r="K163" s="20"/>
      <c r="L163" s="69"/>
      <c r="M163" s="25"/>
      <c r="N163" s="57"/>
      <c r="O163" s="20"/>
      <c r="P163" s="69"/>
      <c r="Q163" s="25"/>
      <c r="R163" s="57"/>
      <c r="S163" s="20"/>
      <c r="T163" s="69"/>
      <c r="U163" s="25"/>
      <c r="V163" s="57"/>
      <c r="W163" s="20"/>
      <c r="X163" s="36"/>
      <c r="Y163" s="20"/>
      <c r="Z163" s="36"/>
      <c r="AA163" s="20"/>
      <c r="AB163" s="36"/>
      <c r="AC163" s="20"/>
      <c r="AD163" s="36"/>
      <c r="AE163" s="20"/>
      <c r="AF163" s="36"/>
      <c r="AG163" s="20"/>
      <c r="AH163" s="49">
        <f t="shared" si="4"/>
        <v>0</v>
      </c>
      <c r="AI163" s="73">
        <f t="shared" si="4"/>
        <v>0</v>
      </c>
      <c r="AJ163" s="51"/>
      <c r="AK163" s="51"/>
      <c r="AL163" s="51"/>
      <c r="AM163" s="52"/>
      <c r="AN163" s="51"/>
      <c r="AO163" s="51"/>
    </row>
    <row r="164" spans="1:41">
      <c r="A164" s="54" t="s">
        <v>28</v>
      </c>
      <c r="B164" s="58">
        <v>100</v>
      </c>
      <c r="C164" s="48" t="s">
        <v>29</v>
      </c>
      <c r="D164" s="55" t="s">
        <v>35</v>
      </c>
      <c r="E164" s="53">
        <v>2015</v>
      </c>
      <c r="F164" s="55"/>
      <c r="G164" s="55"/>
      <c r="H164" s="55"/>
      <c r="I164" s="56"/>
      <c r="J164" s="57"/>
      <c r="K164" s="20"/>
      <c r="L164" s="69"/>
      <c r="M164" s="25"/>
      <c r="N164" s="57"/>
      <c r="O164" s="20"/>
      <c r="P164" s="69"/>
      <c r="Q164" s="25"/>
      <c r="R164" s="57"/>
      <c r="S164" s="20"/>
      <c r="T164" s="69"/>
      <c r="U164" s="25"/>
      <c r="V164" s="57"/>
      <c r="W164" s="20"/>
      <c r="X164" s="36"/>
      <c r="Y164" s="20"/>
      <c r="Z164" s="36"/>
      <c r="AA164" s="20"/>
      <c r="AB164" s="36"/>
      <c r="AC164" s="20"/>
      <c r="AD164" s="36"/>
      <c r="AE164" s="20"/>
      <c r="AF164" s="36"/>
      <c r="AG164" s="20"/>
      <c r="AH164" s="49">
        <f t="shared" si="4"/>
        <v>0</v>
      </c>
      <c r="AI164" s="73">
        <f t="shared" si="4"/>
        <v>0</v>
      </c>
      <c r="AJ164" s="51"/>
      <c r="AK164" s="51"/>
      <c r="AL164" s="51"/>
      <c r="AM164" s="52"/>
      <c r="AN164" s="51"/>
      <c r="AO164" s="51"/>
    </row>
    <row r="165" spans="1:41">
      <c r="A165" s="54" t="s">
        <v>28</v>
      </c>
      <c r="B165" s="58">
        <v>100</v>
      </c>
      <c r="C165" s="48" t="s">
        <v>29</v>
      </c>
      <c r="D165" s="55" t="s">
        <v>35</v>
      </c>
      <c r="E165" s="53">
        <v>2015</v>
      </c>
      <c r="F165" s="55"/>
      <c r="G165" s="55"/>
      <c r="H165" s="55"/>
      <c r="I165" s="56"/>
      <c r="J165" s="57"/>
      <c r="K165" s="20"/>
      <c r="L165" s="69"/>
      <c r="M165" s="25"/>
      <c r="N165" s="57"/>
      <c r="O165" s="20"/>
      <c r="P165" s="69"/>
      <c r="Q165" s="25"/>
      <c r="R165" s="57"/>
      <c r="S165" s="20"/>
      <c r="T165" s="69"/>
      <c r="U165" s="25"/>
      <c r="V165" s="57"/>
      <c r="W165" s="20"/>
      <c r="X165" s="36"/>
      <c r="Y165" s="20"/>
      <c r="Z165" s="36"/>
      <c r="AA165" s="20"/>
      <c r="AB165" s="36"/>
      <c r="AC165" s="20"/>
      <c r="AD165" s="36"/>
      <c r="AE165" s="20"/>
      <c r="AF165" s="36"/>
      <c r="AG165" s="20"/>
      <c r="AH165" s="49">
        <f t="shared" si="4"/>
        <v>0</v>
      </c>
      <c r="AI165" s="73">
        <f t="shared" si="4"/>
        <v>0</v>
      </c>
      <c r="AJ165" s="51"/>
      <c r="AK165" s="51"/>
      <c r="AL165" s="51"/>
      <c r="AM165" s="52"/>
      <c r="AN165" s="51"/>
      <c r="AO165" s="51"/>
    </row>
    <row r="166" spans="1:41">
      <c r="A166" s="54" t="s">
        <v>28</v>
      </c>
      <c r="B166" s="58">
        <v>100</v>
      </c>
      <c r="C166" s="48" t="s">
        <v>29</v>
      </c>
      <c r="D166" s="55" t="s">
        <v>35</v>
      </c>
      <c r="E166" s="53">
        <v>2015</v>
      </c>
      <c r="F166" s="55"/>
      <c r="G166" s="55"/>
      <c r="H166" s="55"/>
      <c r="I166" s="56"/>
      <c r="J166" s="57"/>
      <c r="K166" s="20"/>
      <c r="L166" s="69"/>
      <c r="M166" s="25"/>
      <c r="N166" s="57"/>
      <c r="O166" s="20"/>
      <c r="P166" s="69"/>
      <c r="Q166" s="25"/>
      <c r="R166" s="57"/>
      <c r="S166" s="20"/>
      <c r="T166" s="69"/>
      <c r="U166" s="25"/>
      <c r="V166" s="57"/>
      <c r="W166" s="20"/>
      <c r="X166" s="36"/>
      <c r="Y166" s="20"/>
      <c r="Z166" s="36"/>
      <c r="AA166" s="20"/>
      <c r="AB166" s="36"/>
      <c r="AC166" s="20"/>
      <c r="AD166" s="36"/>
      <c r="AE166" s="20"/>
      <c r="AF166" s="36"/>
      <c r="AG166" s="20"/>
      <c r="AH166" s="49">
        <f t="shared" si="4"/>
        <v>0</v>
      </c>
      <c r="AI166" s="73">
        <f t="shared" si="4"/>
        <v>0</v>
      </c>
      <c r="AJ166" s="51"/>
      <c r="AK166" s="51"/>
      <c r="AL166" s="51"/>
      <c r="AM166" s="52"/>
      <c r="AN166" s="51"/>
      <c r="AO166" s="51"/>
    </row>
    <row r="167" spans="1:41">
      <c r="A167" s="54" t="s">
        <v>28</v>
      </c>
      <c r="B167" s="58">
        <v>100</v>
      </c>
      <c r="C167" s="48" t="s">
        <v>29</v>
      </c>
      <c r="D167" s="55" t="s">
        <v>35</v>
      </c>
      <c r="E167" s="53">
        <v>2015</v>
      </c>
      <c r="F167" s="55"/>
      <c r="G167" s="55"/>
      <c r="H167" s="55"/>
      <c r="I167" s="56"/>
      <c r="J167" s="57"/>
      <c r="K167" s="20"/>
      <c r="L167" s="69"/>
      <c r="M167" s="25"/>
      <c r="N167" s="57"/>
      <c r="O167" s="20"/>
      <c r="P167" s="69"/>
      <c r="Q167" s="25"/>
      <c r="R167" s="57"/>
      <c r="S167" s="20"/>
      <c r="T167" s="69"/>
      <c r="U167" s="25"/>
      <c r="V167" s="57"/>
      <c r="W167" s="20"/>
      <c r="X167" s="36"/>
      <c r="Y167" s="20"/>
      <c r="Z167" s="36"/>
      <c r="AA167" s="20"/>
      <c r="AB167" s="36"/>
      <c r="AC167" s="20"/>
      <c r="AD167" s="36"/>
      <c r="AE167" s="20"/>
      <c r="AF167" s="36"/>
      <c r="AG167" s="20"/>
      <c r="AH167" s="49">
        <f t="shared" si="4"/>
        <v>0</v>
      </c>
      <c r="AI167" s="73">
        <f t="shared" si="4"/>
        <v>0</v>
      </c>
      <c r="AJ167" s="51"/>
      <c r="AK167" s="51"/>
      <c r="AL167" s="51"/>
      <c r="AM167" s="52"/>
      <c r="AN167" s="51"/>
      <c r="AO167" s="51"/>
    </row>
    <row r="168" spans="1:41">
      <c r="A168" s="54" t="s">
        <v>28</v>
      </c>
      <c r="B168" s="58">
        <v>100</v>
      </c>
      <c r="C168" s="48" t="s">
        <v>29</v>
      </c>
      <c r="D168" s="55" t="s">
        <v>35</v>
      </c>
      <c r="E168" s="53">
        <v>2015</v>
      </c>
      <c r="F168" s="55"/>
      <c r="G168" s="55"/>
      <c r="H168" s="55"/>
      <c r="I168" s="56"/>
      <c r="J168" s="57"/>
      <c r="K168" s="20"/>
      <c r="L168" s="69"/>
      <c r="M168" s="25"/>
      <c r="N168" s="57"/>
      <c r="O168" s="20"/>
      <c r="P168" s="69"/>
      <c r="Q168" s="25"/>
      <c r="R168" s="57"/>
      <c r="S168" s="20"/>
      <c r="T168" s="69"/>
      <c r="U168" s="25"/>
      <c r="V168" s="57"/>
      <c r="W168" s="20"/>
      <c r="X168" s="36"/>
      <c r="Y168" s="20"/>
      <c r="Z168" s="36"/>
      <c r="AA168" s="20"/>
      <c r="AB168" s="36"/>
      <c r="AC168" s="20"/>
      <c r="AD168" s="36"/>
      <c r="AE168" s="20"/>
      <c r="AF168" s="36"/>
      <c r="AG168" s="20"/>
      <c r="AH168" s="49">
        <f t="shared" si="4"/>
        <v>0</v>
      </c>
      <c r="AI168" s="73">
        <f t="shared" si="4"/>
        <v>0</v>
      </c>
      <c r="AJ168" s="51"/>
      <c r="AK168" s="51"/>
      <c r="AL168" s="51"/>
      <c r="AM168" s="52"/>
      <c r="AN168" s="51"/>
      <c r="AO168" s="51"/>
    </row>
    <row r="169" spans="1:41">
      <c r="A169" s="54" t="s">
        <v>28</v>
      </c>
      <c r="B169" s="58">
        <v>100</v>
      </c>
      <c r="C169" s="48" t="s">
        <v>29</v>
      </c>
      <c r="D169" s="55" t="s">
        <v>35</v>
      </c>
      <c r="E169" s="53">
        <v>2015</v>
      </c>
      <c r="F169" s="55"/>
      <c r="G169" s="55"/>
      <c r="H169" s="55"/>
      <c r="I169" s="56"/>
      <c r="J169" s="57"/>
      <c r="K169" s="20"/>
      <c r="L169" s="69"/>
      <c r="M169" s="25"/>
      <c r="N169" s="57"/>
      <c r="O169" s="20"/>
      <c r="P169" s="69"/>
      <c r="Q169" s="25"/>
      <c r="R169" s="57"/>
      <c r="S169" s="20"/>
      <c r="T169" s="69"/>
      <c r="U169" s="25"/>
      <c r="V169" s="57"/>
      <c r="W169" s="20"/>
      <c r="X169" s="36"/>
      <c r="Y169" s="20"/>
      <c r="Z169" s="36"/>
      <c r="AA169" s="20"/>
      <c r="AB169" s="36"/>
      <c r="AC169" s="20"/>
      <c r="AD169" s="36"/>
      <c r="AE169" s="20"/>
      <c r="AF169" s="36"/>
      <c r="AG169" s="20"/>
      <c r="AH169" s="49">
        <f t="shared" si="4"/>
        <v>0</v>
      </c>
      <c r="AI169" s="73">
        <f t="shared" si="4"/>
        <v>0</v>
      </c>
      <c r="AJ169" s="51"/>
      <c r="AK169" s="51"/>
      <c r="AL169" s="51"/>
      <c r="AM169" s="52"/>
      <c r="AN169" s="51"/>
      <c r="AO169" s="51"/>
    </row>
    <row r="170" spans="1:41">
      <c r="A170" s="54" t="s">
        <v>28</v>
      </c>
      <c r="B170" s="58">
        <v>100</v>
      </c>
      <c r="C170" s="48" t="s">
        <v>29</v>
      </c>
      <c r="D170" s="55" t="s">
        <v>35</v>
      </c>
      <c r="E170" s="53">
        <v>2015</v>
      </c>
      <c r="F170" s="55"/>
      <c r="G170" s="55"/>
      <c r="H170" s="55"/>
      <c r="I170" s="56"/>
      <c r="J170" s="57"/>
      <c r="K170" s="20"/>
      <c r="L170" s="69"/>
      <c r="M170" s="25"/>
      <c r="N170" s="57"/>
      <c r="O170" s="20"/>
      <c r="P170" s="69"/>
      <c r="Q170" s="25"/>
      <c r="R170" s="57"/>
      <c r="S170" s="20"/>
      <c r="T170" s="69"/>
      <c r="U170" s="25"/>
      <c r="V170" s="57"/>
      <c r="W170" s="20"/>
      <c r="X170" s="36"/>
      <c r="Y170" s="20"/>
      <c r="Z170" s="36"/>
      <c r="AA170" s="20"/>
      <c r="AB170" s="36"/>
      <c r="AC170" s="20"/>
      <c r="AD170" s="36"/>
      <c r="AE170" s="20"/>
      <c r="AF170" s="36"/>
      <c r="AG170" s="20"/>
      <c r="AH170" s="49">
        <f t="shared" si="4"/>
        <v>0</v>
      </c>
      <c r="AI170" s="73">
        <f t="shared" si="4"/>
        <v>0</v>
      </c>
      <c r="AJ170" s="51"/>
      <c r="AK170" s="51"/>
      <c r="AL170" s="51"/>
      <c r="AM170" s="52"/>
      <c r="AN170" s="51"/>
      <c r="AO170" s="51"/>
    </row>
    <row r="171" spans="1:41">
      <c r="A171" s="54" t="s">
        <v>28</v>
      </c>
      <c r="B171" s="58">
        <v>100</v>
      </c>
      <c r="C171" s="48" t="s">
        <v>29</v>
      </c>
      <c r="D171" s="55" t="s">
        <v>35</v>
      </c>
      <c r="E171" s="53">
        <v>2015</v>
      </c>
      <c r="F171" s="55"/>
      <c r="G171" s="55"/>
      <c r="H171" s="55"/>
      <c r="I171" s="56"/>
      <c r="J171" s="57"/>
      <c r="K171" s="20"/>
      <c r="L171" s="69"/>
      <c r="M171" s="25"/>
      <c r="N171" s="57"/>
      <c r="O171" s="20"/>
      <c r="P171" s="69"/>
      <c r="Q171" s="25"/>
      <c r="R171" s="57"/>
      <c r="S171" s="20"/>
      <c r="T171" s="69"/>
      <c r="U171" s="25"/>
      <c r="V171" s="57"/>
      <c r="W171" s="20"/>
      <c r="X171" s="36"/>
      <c r="Y171" s="20"/>
      <c r="Z171" s="36"/>
      <c r="AA171" s="20"/>
      <c r="AB171" s="36"/>
      <c r="AC171" s="20"/>
      <c r="AD171" s="36"/>
      <c r="AE171" s="20"/>
      <c r="AF171" s="36"/>
      <c r="AG171" s="20"/>
      <c r="AH171" s="49">
        <f t="shared" si="4"/>
        <v>0</v>
      </c>
      <c r="AI171" s="73">
        <f t="shared" si="4"/>
        <v>0</v>
      </c>
      <c r="AJ171" s="51"/>
      <c r="AK171" s="51"/>
      <c r="AL171" s="51"/>
      <c r="AM171" s="52"/>
      <c r="AN171" s="51"/>
      <c r="AO171" s="51"/>
    </row>
    <row r="172" spans="1:41">
      <c r="A172" s="54" t="s">
        <v>28</v>
      </c>
      <c r="B172" s="58">
        <v>100</v>
      </c>
      <c r="C172" s="48" t="s">
        <v>29</v>
      </c>
      <c r="D172" s="55" t="s">
        <v>35</v>
      </c>
      <c r="E172" s="53">
        <v>2015</v>
      </c>
      <c r="F172" s="55"/>
      <c r="G172" s="55"/>
      <c r="H172" s="55"/>
      <c r="I172" s="56"/>
      <c r="J172" s="57"/>
      <c r="K172" s="20"/>
      <c r="L172" s="69"/>
      <c r="M172" s="25"/>
      <c r="N172" s="57"/>
      <c r="O172" s="20"/>
      <c r="P172" s="69"/>
      <c r="Q172" s="25"/>
      <c r="R172" s="57"/>
      <c r="S172" s="20"/>
      <c r="T172" s="69"/>
      <c r="U172" s="25"/>
      <c r="V172" s="57"/>
      <c r="W172" s="20"/>
      <c r="X172" s="36"/>
      <c r="Y172" s="20"/>
      <c r="Z172" s="36"/>
      <c r="AA172" s="20"/>
      <c r="AB172" s="36"/>
      <c r="AC172" s="20"/>
      <c r="AD172" s="36"/>
      <c r="AE172" s="20"/>
      <c r="AF172" s="36"/>
      <c r="AG172" s="20"/>
      <c r="AH172" s="49">
        <f t="shared" si="4"/>
        <v>0</v>
      </c>
      <c r="AI172" s="73">
        <f t="shared" si="4"/>
        <v>0</v>
      </c>
      <c r="AJ172" s="51"/>
      <c r="AK172" s="51"/>
      <c r="AL172" s="51"/>
      <c r="AM172" s="52"/>
      <c r="AN172" s="51"/>
      <c r="AO172" s="51"/>
    </row>
    <row r="173" spans="1:41">
      <c r="A173" s="54" t="s">
        <v>28</v>
      </c>
      <c r="B173" s="58">
        <v>100</v>
      </c>
      <c r="C173" s="48" t="s">
        <v>29</v>
      </c>
      <c r="D173" s="55" t="s">
        <v>35</v>
      </c>
      <c r="E173" s="53">
        <v>2015</v>
      </c>
      <c r="F173" s="55"/>
      <c r="G173" s="55"/>
      <c r="H173" s="55"/>
      <c r="I173" s="56"/>
      <c r="J173" s="57"/>
      <c r="K173" s="20"/>
      <c r="L173" s="69"/>
      <c r="M173" s="25"/>
      <c r="N173" s="57"/>
      <c r="O173" s="20"/>
      <c r="P173" s="69"/>
      <c r="Q173" s="25"/>
      <c r="R173" s="57"/>
      <c r="S173" s="20"/>
      <c r="T173" s="69"/>
      <c r="U173" s="25"/>
      <c r="V173" s="57"/>
      <c r="W173" s="20"/>
      <c r="X173" s="36"/>
      <c r="Y173" s="20"/>
      <c r="Z173" s="36"/>
      <c r="AA173" s="20"/>
      <c r="AB173" s="36"/>
      <c r="AC173" s="20"/>
      <c r="AD173" s="36"/>
      <c r="AE173" s="20"/>
      <c r="AF173" s="36"/>
      <c r="AG173" s="20"/>
      <c r="AH173" s="49">
        <f t="shared" si="4"/>
        <v>0</v>
      </c>
      <c r="AI173" s="73">
        <f t="shared" si="4"/>
        <v>0</v>
      </c>
      <c r="AJ173" s="51"/>
      <c r="AK173" s="51"/>
      <c r="AL173" s="51"/>
      <c r="AM173" s="52"/>
      <c r="AN173" s="51"/>
      <c r="AO173" s="51"/>
    </row>
    <row r="174" spans="1:41">
      <c r="A174" s="54" t="s">
        <v>28</v>
      </c>
      <c r="B174" s="58">
        <v>100</v>
      </c>
      <c r="C174" s="48" t="s">
        <v>29</v>
      </c>
      <c r="D174" s="55" t="s">
        <v>35</v>
      </c>
      <c r="E174" s="53">
        <v>2015</v>
      </c>
      <c r="F174" s="55"/>
      <c r="G174" s="55"/>
      <c r="H174" s="55"/>
      <c r="I174" s="56"/>
      <c r="J174" s="57"/>
      <c r="K174" s="20"/>
      <c r="L174" s="69"/>
      <c r="M174" s="25"/>
      <c r="N174" s="57"/>
      <c r="O174" s="20"/>
      <c r="P174" s="69"/>
      <c r="Q174" s="25"/>
      <c r="R174" s="57"/>
      <c r="S174" s="20"/>
      <c r="T174" s="69"/>
      <c r="U174" s="25"/>
      <c r="V174" s="57"/>
      <c r="W174" s="20"/>
      <c r="X174" s="36"/>
      <c r="Y174" s="20"/>
      <c r="Z174" s="36"/>
      <c r="AA174" s="20"/>
      <c r="AB174" s="36"/>
      <c r="AC174" s="20"/>
      <c r="AD174" s="36"/>
      <c r="AE174" s="20"/>
      <c r="AF174" s="36"/>
      <c r="AG174" s="20"/>
      <c r="AH174" s="49">
        <f t="shared" si="4"/>
        <v>0</v>
      </c>
      <c r="AI174" s="73">
        <f t="shared" si="4"/>
        <v>0</v>
      </c>
      <c r="AJ174" s="51"/>
      <c r="AK174" s="51"/>
      <c r="AL174" s="51"/>
      <c r="AM174" s="52"/>
      <c r="AN174" s="51"/>
      <c r="AO174" s="51"/>
    </row>
    <row r="175" spans="1:41">
      <c r="A175" s="54" t="s">
        <v>28</v>
      </c>
      <c r="B175" s="58">
        <v>100</v>
      </c>
      <c r="C175" s="48" t="s">
        <v>29</v>
      </c>
      <c r="D175" s="55" t="s">
        <v>35</v>
      </c>
      <c r="E175" s="53">
        <v>2015</v>
      </c>
      <c r="F175" s="55"/>
      <c r="G175" s="55"/>
      <c r="H175" s="55"/>
      <c r="I175" s="56"/>
      <c r="J175" s="57"/>
      <c r="K175" s="20"/>
      <c r="L175" s="69"/>
      <c r="M175" s="25"/>
      <c r="N175" s="57"/>
      <c r="O175" s="20"/>
      <c r="P175" s="69"/>
      <c r="Q175" s="25"/>
      <c r="R175" s="57"/>
      <c r="S175" s="20"/>
      <c r="T175" s="69"/>
      <c r="U175" s="25"/>
      <c r="V175" s="57"/>
      <c r="W175" s="20"/>
      <c r="X175" s="36"/>
      <c r="Y175" s="20"/>
      <c r="Z175" s="36"/>
      <c r="AA175" s="20"/>
      <c r="AB175" s="36"/>
      <c r="AC175" s="20"/>
      <c r="AD175" s="36"/>
      <c r="AE175" s="20"/>
      <c r="AF175" s="36"/>
      <c r="AG175" s="20"/>
      <c r="AH175" s="49">
        <f t="shared" si="4"/>
        <v>0</v>
      </c>
      <c r="AI175" s="73">
        <f t="shared" si="4"/>
        <v>0</v>
      </c>
      <c r="AJ175" s="51"/>
      <c r="AK175" s="51"/>
      <c r="AL175" s="51"/>
      <c r="AM175" s="52"/>
      <c r="AN175" s="51"/>
      <c r="AO175" s="51"/>
    </row>
    <row r="176" spans="1:41">
      <c r="A176" s="54" t="s">
        <v>28</v>
      </c>
      <c r="B176" s="58">
        <v>100</v>
      </c>
      <c r="C176" s="48" t="s">
        <v>29</v>
      </c>
      <c r="D176" s="55" t="s">
        <v>35</v>
      </c>
      <c r="E176" s="53">
        <v>2015</v>
      </c>
      <c r="F176" s="55"/>
      <c r="G176" s="55"/>
      <c r="H176" s="55"/>
      <c r="I176" s="56"/>
      <c r="J176" s="57"/>
      <c r="K176" s="20"/>
      <c r="L176" s="69"/>
      <c r="M176" s="25"/>
      <c r="N176" s="57"/>
      <c r="O176" s="20"/>
      <c r="P176" s="69"/>
      <c r="Q176" s="25"/>
      <c r="R176" s="57"/>
      <c r="S176" s="20"/>
      <c r="T176" s="69"/>
      <c r="U176" s="25"/>
      <c r="V176" s="57"/>
      <c r="W176" s="20"/>
      <c r="X176" s="36"/>
      <c r="Y176" s="20"/>
      <c r="Z176" s="36"/>
      <c r="AA176" s="20"/>
      <c r="AB176" s="36"/>
      <c r="AC176" s="20"/>
      <c r="AD176" s="36"/>
      <c r="AE176" s="20"/>
      <c r="AF176" s="36"/>
      <c r="AG176" s="20"/>
      <c r="AH176" s="49">
        <f t="shared" si="4"/>
        <v>0</v>
      </c>
      <c r="AI176" s="73">
        <f t="shared" si="4"/>
        <v>0</v>
      </c>
      <c r="AJ176" s="51"/>
      <c r="AK176" s="51"/>
      <c r="AL176" s="51"/>
      <c r="AM176" s="52"/>
      <c r="AN176" s="51"/>
      <c r="AO176" s="51"/>
    </row>
    <row r="177" spans="1:41">
      <c r="A177" s="54" t="s">
        <v>28</v>
      </c>
      <c r="B177" s="58">
        <v>100</v>
      </c>
      <c r="C177" s="48" t="s">
        <v>29</v>
      </c>
      <c r="D177" s="55" t="s">
        <v>35</v>
      </c>
      <c r="E177" s="53">
        <v>2015</v>
      </c>
      <c r="F177" s="55"/>
      <c r="G177" s="55"/>
      <c r="H177" s="55"/>
      <c r="I177" s="56"/>
      <c r="J177" s="57"/>
      <c r="K177" s="20"/>
      <c r="L177" s="69"/>
      <c r="M177" s="25"/>
      <c r="N177" s="57"/>
      <c r="O177" s="20"/>
      <c r="P177" s="69"/>
      <c r="Q177" s="25"/>
      <c r="R177" s="57"/>
      <c r="S177" s="20"/>
      <c r="T177" s="69"/>
      <c r="U177" s="25"/>
      <c r="V177" s="57"/>
      <c r="W177" s="20"/>
      <c r="X177" s="36"/>
      <c r="Y177" s="20"/>
      <c r="Z177" s="36"/>
      <c r="AA177" s="20"/>
      <c r="AB177" s="36"/>
      <c r="AC177" s="20"/>
      <c r="AD177" s="36"/>
      <c r="AE177" s="20"/>
      <c r="AF177" s="36"/>
      <c r="AG177" s="20"/>
      <c r="AH177" s="49">
        <f t="shared" si="4"/>
        <v>0</v>
      </c>
      <c r="AI177" s="73">
        <f t="shared" si="4"/>
        <v>0</v>
      </c>
      <c r="AJ177" s="51"/>
      <c r="AK177" s="51"/>
      <c r="AL177" s="51"/>
      <c r="AM177" s="52"/>
      <c r="AN177" s="51"/>
      <c r="AO177" s="51"/>
    </row>
    <row r="178" spans="1:41">
      <c r="A178" s="54" t="s">
        <v>28</v>
      </c>
      <c r="B178" s="58">
        <v>100</v>
      </c>
      <c r="C178" s="48" t="s">
        <v>29</v>
      </c>
      <c r="D178" s="55" t="s">
        <v>35</v>
      </c>
      <c r="E178" s="53">
        <v>2015</v>
      </c>
      <c r="F178" s="55"/>
      <c r="G178" s="55"/>
      <c r="H178" s="55"/>
      <c r="I178" s="56"/>
      <c r="J178" s="57"/>
      <c r="K178" s="20"/>
      <c r="L178" s="69"/>
      <c r="M178" s="25"/>
      <c r="N178" s="57"/>
      <c r="O178" s="20"/>
      <c r="P178" s="69"/>
      <c r="Q178" s="25"/>
      <c r="R178" s="57"/>
      <c r="S178" s="20"/>
      <c r="T178" s="69"/>
      <c r="U178" s="25"/>
      <c r="V178" s="57"/>
      <c r="W178" s="20"/>
      <c r="X178" s="36"/>
      <c r="Y178" s="20"/>
      <c r="Z178" s="36"/>
      <c r="AA178" s="20"/>
      <c r="AB178" s="36"/>
      <c r="AC178" s="20"/>
      <c r="AD178" s="36"/>
      <c r="AE178" s="20"/>
      <c r="AF178" s="36"/>
      <c r="AG178" s="20"/>
      <c r="AH178" s="49">
        <f t="shared" si="4"/>
        <v>0</v>
      </c>
      <c r="AI178" s="73">
        <f t="shared" si="4"/>
        <v>0</v>
      </c>
      <c r="AJ178" s="51"/>
      <c r="AK178" s="51"/>
      <c r="AL178" s="51"/>
      <c r="AM178" s="52"/>
      <c r="AN178" s="51"/>
      <c r="AO178" s="51"/>
    </row>
    <row r="179" spans="1:41">
      <c r="A179" s="54" t="s">
        <v>28</v>
      </c>
      <c r="B179" s="58">
        <v>100</v>
      </c>
      <c r="C179" s="48" t="s">
        <v>29</v>
      </c>
      <c r="D179" s="55" t="s">
        <v>35</v>
      </c>
      <c r="E179" s="53">
        <v>2015</v>
      </c>
      <c r="F179" s="55"/>
      <c r="G179" s="55"/>
      <c r="H179" s="55"/>
      <c r="I179" s="56"/>
      <c r="J179" s="57"/>
      <c r="K179" s="20"/>
      <c r="L179" s="69"/>
      <c r="M179" s="25"/>
      <c r="N179" s="57"/>
      <c r="O179" s="20"/>
      <c r="P179" s="69"/>
      <c r="Q179" s="25"/>
      <c r="R179" s="57"/>
      <c r="S179" s="20"/>
      <c r="T179" s="69"/>
      <c r="U179" s="25"/>
      <c r="V179" s="57"/>
      <c r="W179" s="20"/>
      <c r="X179" s="36"/>
      <c r="Y179" s="20"/>
      <c r="Z179" s="36"/>
      <c r="AA179" s="20"/>
      <c r="AB179" s="36"/>
      <c r="AC179" s="20"/>
      <c r="AD179" s="36"/>
      <c r="AE179" s="20"/>
      <c r="AF179" s="36"/>
      <c r="AG179" s="20"/>
      <c r="AH179" s="49">
        <f t="shared" si="4"/>
        <v>0</v>
      </c>
      <c r="AI179" s="73">
        <f t="shared" si="4"/>
        <v>0</v>
      </c>
      <c r="AJ179" s="51"/>
      <c r="AK179" s="51"/>
      <c r="AL179" s="51"/>
      <c r="AM179" s="52"/>
      <c r="AN179" s="51"/>
      <c r="AO179" s="51"/>
    </row>
    <row r="180" spans="1:41">
      <c r="A180" s="54" t="s">
        <v>28</v>
      </c>
      <c r="B180" s="58">
        <v>100</v>
      </c>
      <c r="C180" s="48" t="s">
        <v>29</v>
      </c>
      <c r="D180" s="55" t="s">
        <v>35</v>
      </c>
      <c r="E180" s="53">
        <v>2015</v>
      </c>
      <c r="F180" s="55"/>
      <c r="G180" s="55"/>
      <c r="H180" s="55"/>
      <c r="I180" s="56"/>
      <c r="J180" s="57"/>
      <c r="K180" s="20"/>
      <c r="L180" s="69"/>
      <c r="M180" s="25"/>
      <c r="N180" s="57"/>
      <c r="O180" s="20"/>
      <c r="P180" s="69"/>
      <c r="Q180" s="25"/>
      <c r="R180" s="57"/>
      <c r="S180" s="20"/>
      <c r="T180" s="69"/>
      <c r="U180" s="25"/>
      <c r="V180" s="57"/>
      <c r="W180" s="20"/>
      <c r="X180" s="36"/>
      <c r="Y180" s="20"/>
      <c r="Z180" s="36"/>
      <c r="AA180" s="20"/>
      <c r="AB180" s="36"/>
      <c r="AC180" s="20"/>
      <c r="AD180" s="36"/>
      <c r="AE180" s="20"/>
      <c r="AF180" s="36"/>
      <c r="AG180" s="20"/>
      <c r="AH180" s="49">
        <f t="shared" si="4"/>
        <v>0</v>
      </c>
      <c r="AI180" s="73">
        <f t="shared" si="4"/>
        <v>0</v>
      </c>
      <c r="AJ180" s="51"/>
      <c r="AK180" s="51"/>
      <c r="AL180" s="51"/>
      <c r="AM180" s="52"/>
      <c r="AN180" s="51"/>
      <c r="AO180" s="51"/>
    </row>
    <row r="181" spans="1:41">
      <c r="A181" s="54" t="s">
        <v>28</v>
      </c>
      <c r="B181" s="58">
        <v>100</v>
      </c>
      <c r="C181" s="48" t="s">
        <v>29</v>
      </c>
      <c r="D181" s="55" t="s">
        <v>35</v>
      </c>
      <c r="E181" s="53">
        <v>2015</v>
      </c>
      <c r="F181" s="55"/>
      <c r="G181" s="55"/>
      <c r="H181" s="55"/>
      <c r="I181" s="56"/>
      <c r="J181" s="57"/>
      <c r="K181" s="20"/>
      <c r="L181" s="69"/>
      <c r="M181" s="25"/>
      <c r="N181" s="57"/>
      <c r="O181" s="20"/>
      <c r="P181" s="69"/>
      <c r="Q181" s="25"/>
      <c r="R181" s="57"/>
      <c r="S181" s="20"/>
      <c r="T181" s="69"/>
      <c r="U181" s="25"/>
      <c r="V181" s="57"/>
      <c r="W181" s="20"/>
      <c r="X181" s="36"/>
      <c r="Y181" s="20"/>
      <c r="Z181" s="36"/>
      <c r="AA181" s="20"/>
      <c r="AB181" s="36"/>
      <c r="AC181" s="20"/>
      <c r="AD181" s="36"/>
      <c r="AE181" s="20"/>
      <c r="AF181" s="36"/>
      <c r="AG181" s="20"/>
      <c r="AH181" s="49">
        <f t="shared" si="4"/>
        <v>0</v>
      </c>
      <c r="AI181" s="73">
        <f t="shared" si="4"/>
        <v>0</v>
      </c>
      <c r="AJ181" s="51"/>
      <c r="AK181" s="51"/>
      <c r="AL181" s="51"/>
      <c r="AM181" s="52"/>
      <c r="AN181" s="51"/>
      <c r="AO181" s="51"/>
    </row>
    <row r="182" spans="1:41">
      <c r="A182" s="54" t="s">
        <v>28</v>
      </c>
      <c r="B182" s="58">
        <v>100</v>
      </c>
      <c r="C182" s="48" t="s">
        <v>29</v>
      </c>
      <c r="D182" s="55" t="s">
        <v>35</v>
      </c>
      <c r="E182" s="53">
        <v>2015</v>
      </c>
      <c r="F182" s="55"/>
      <c r="G182" s="55"/>
      <c r="H182" s="55"/>
      <c r="I182" s="56"/>
      <c r="J182" s="57"/>
      <c r="K182" s="20"/>
      <c r="L182" s="69"/>
      <c r="M182" s="25"/>
      <c r="N182" s="57"/>
      <c r="O182" s="20"/>
      <c r="P182" s="69"/>
      <c r="Q182" s="25"/>
      <c r="R182" s="57"/>
      <c r="S182" s="20"/>
      <c r="T182" s="69"/>
      <c r="U182" s="25"/>
      <c r="V182" s="57"/>
      <c r="W182" s="20"/>
      <c r="X182" s="36"/>
      <c r="Y182" s="20"/>
      <c r="Z182" s="36"/>
      <c r="AA182" s="20"/>
      <c r="AB182" s="36"/>
      <c r="AC182" s="20"/>
      <c r="AD182" s="36"/>
      <c r="AE182" s="20"/>
      <c r="AF182" s="36"/>
      <c r="AG182" s="20"/>
      <c r="AH182" s="49">
        <f t="shared" si="4"/>
        <v>0</v>
      </c>
      <c r="AI182" s="73">
        <f t="shared" si="4"/>
        <v>0</v>
      </c>
      <c r="AJ182" s="51"/>
      <c r="AK182" s="51"/>
      <c r="AL182" s="51"/>
      <c r="AM182" s="52"/>
      <c r="AN182" s="51"/>
      <c r="AO182" s="51"/>
    </row>
    <row r="183" spans="1:41">
      <c r="A183" s="54" t="s">
        <v>28</v>
      </c>
      <c r="B183" s="58">
        <v>100</v>
      </c>
      <c r="C183" s="48" t="s">
        <v>29</v>
      </c>
      <c r="D183" s="55" t="s">
        <v>35</v>
      </c>
      <c r="E183" s="53">
        <v>2015</v>
      </c>
      <c r="F183" s="55"/>
      <c r="G183" s="55"/>
      <c r="H183" s="55"/>
      <c r="I183" s="56"/>
      <c r="J183" s="57"/>
      <c r="K183" s="20"/>
      <c r="L183" s="69"/>
      <c r="M183" s="25"/>
      <c r="N183" s="57"/>
      <c r="O183" s="20"/>
      <c r="P183" s="69"/>
      <c r="Q183" s="25"/>
      <c r="R183" s="57"/>
      <c r="S183" s="20"/>
      <c r="T183" s="69"/>
      <c r="U183" s="25"/>
      <c r="V183" s="57"/>
      <c r="W183" s="20"/>
      <c r="X183" s="36"/>
      <c r="Y183" s="20"/>
      <c r="Z183" s="36"/>
      <c r="AA183" s="20"/>
      <c r="AB183" s="36"/>
      <c r="AC183" s="20"/>
      <c r="AD183" s="36"/>
      <c r="AE183" s="20"/>
      <c r="AF183" s="36"/>
      <c r="AG183" s="20"/>
      <c r="AH183" s="49">
        <f t="shared" si="4"/>
        <v>0</v>
      </c>
      <c r="AI183" s="73">
        <f t="shared" si="4"/>
        <v>0</v>
      </c>
      <c r="AJ183" s="51"/>
      <c r="AK183" s="51"/>
      <c r="AL183" s="51"/>
      <c r="AM183" s="52"/>
      <c r="AN183" s="51"/>
      <c r="AO183" s="51"/>
    </row>
    <row r="184" spans="1:41">
      <c r="A184" s="54" t="s">
        <v>28</v>
      </c>
      <c r="B184" s="58">
        <v>100</v>
      </c>
      <c r="C184" s="48" t="s">
        <v>29</v>
      </c>
      <c r="D184" s="55" t="s">
        <v>35</v>
      </c>
      <c r="E184" s="53">
        <v>2015</v>
      </c>
      <c r="F184" s="55"/>
      <c r="G184" s="55"/>
      <c r="H184" s="55"/>
      <c r="I184" s="56"/>
      <c r="J184" s="57"/>
      <c r="K184" s="20"/>
      <c r="L184" s="69"/>
      <c r="M184" s="25"/>
      <c r="N184" s="57"/>
      <c r="O184" s="20"/>
      <c r="P184" s="69"/>
      <c r="Q184" s="25"/>
      <c r="R184" s="57"/>
      <c r="S184" s="20"/>
      <c r="T184" s="69"/>
      <c r="U184" s="25"/>
      <c r="V184" s="57"/>
      <c r="W184" s="20"/>
      <c r="X184" s="36"/>
      <c r="Y184" s="20"/>
      <c r="Z184" s="36"/>
      <c r="AA184" s="20"/>
      <c r="AB184" s="36"/>
      <c r="AC184" s="20"/>
      <c r="AD184" s="36"/>
      <c r="AE184" s="20"/>
      <c r="AF184" s="36"/>
      <c r="AG184" s="20"/>
      <c r="AH184" s="49">
        <f t="shared" si="4"/>
        <v>0</v>
      </c>
      <c r="AI184" s="73">
        <f t="shared" si="4"/>
        <v>0</v>
      </c>
      <c r="AJ184" s="51"/>
      <c r="AK184" s="51"/>
      <c r="AL184" s="51"/>
      <c r="AM184" s="52"/>
      <c r="AN184" s="51"/>
      <c r="AO184" s="51"/>
    </row>
    <row r="185" spans="1:41">
      <c r="A185" s="54" t="s">
        <v>28</v>
      </c>
      <c r="B185" s="58">
        <v>100</v>
      </c>
      <c r="C185" s="48" t="s">
        <v>29</v>
      </c>
      <c r="D185" s="55" t="s">
        <v>35</v>
      </c>
      <c r="E185" s="53">
        <v>2015</v>
      </c>
      <c r="F185" s="55"/>
      <c r="G185" s="55"/>
      <c r="H185" s="55"/>
      <c r="I185" s="56"/>
      <c r="J185" s="57"/>
      <c r="K185" s="20"/>
      <c r="L185" s="69"/>
      <c r="M185" s="25"/>
      <c r="N185" s="57"/>
      <c r="O185" s="20"/>
      <c r="P185" s="69"/>
      <c r="Q185" s="25"/>
      <c r="R185" s="57"/>
      <c r="S185" s="20"/>
      <c r="T185" s="69"/>
      <c r="U185" s="25"/>
      <c r="V185" s="57"/>
      <c r="W185" s="20"/>
      <c r="X185" s="36"/>
      <c r="Y185" s="20"/>
      <c r="Z185" s="36"/>
      <c r="AA185" s="20"/>
      <c r="AB185" s="36"/>
      <c r="AC185" s="20"/>
      <c r="AD185" s="36"/>
      <c r="AE185" s="20"/>
      <c r="AF185" s="36"/>
      <c r="AG185" s="20"/>
      <c r="AH185" s="49">
        <f t="shared" si="4"/>
        <v>0</v>
      </c>
      <c r="AI185" s="73">
        <f t="shared" si="4"/>
        <v>0</v>
      </c>
      <c r="AJ185" s="51"/>
      <c r="AK185" s="51"/>
      <c r="AL185" s="51"/>
      <c r="AM185" s="52"/>
      <c r="AN185" s="51"/>
      <c r="AO185" s="51"/>
    </row>
    <row r="186" spans="1:41">
      <c r="A186" s="54" t="s">
        <v>28</v>
      </c>
      <c r="B186" s="58">
        <v>100</v>
      </c>
      <c r="C186" s="48" t="s">
        <v>29</v>
      </c>
      <c r="D186" s="55" t="s">
        <v>35</v>
      </c>
      <c r="E186" s="53">
        <v>2015</v>
      </c>
      <c r="F186" s="55"/>
      <c r="G186" s="55"/>
      <c r="H186" s="55"/>
      <c r="I186" s="56"/>
      <c r="J186" s="57"/>
      <c r="K186" s="20"/>
      <c r="L186" s="69"/>
      <c r="M186" s="25"/>
      <c r="N186" s="57"/>
      <c r="O186" s="20"/>
      <c r="P186" s="69"/>
      <c r="Q186" s="25"/>
      <c r="R186" s="57"/>
      <c r="S186" s="20"/>
      <c r="T186" s="69"/>
      <c r="U186" s="25"/>
      <c r="V186" s="57"/>
      <c r="W186" s="20"/>
      <c r="X186" s="36"/>
      <c r="Y186" s="20"/>
      <c r="Z186" s="36"/>
      <c r="AA186" s="20"/>
      <c r="AB186" s="36"/>
      <c r="AC186" s="20"/>
      <c r="AD186" s="36"/>
      <c r="AE186" s="20"/>
      <c r="AF186" s="36"/>
      <c r="AG186" s="20"/>
      <c r="AH186" s="49">
        <f t="shared" si="4"/>
        <v>0</v>
      </c>
      <c r="AI186" s="73">
        <f t="shared" si="4"/>
        <v>0</v>
      </c>
      <c r="AJ186" s="51"/>
      <c r="AK186" s="51"/>
      <c r="AL186" s="51"/>
      <c r="AM186" s="52"/>
      <c r="AN186" s="51"/>
      <c r="AO186" s="51"/>
    </row>
    <row r="187" spans="1:41">
      <c r="A187" s="54" t="s">
        <v>28</v>
      </c>
      <c r="B187" s="58">
        <v>100</v>
      </c>
      <c r="C187" s="48" t="s">
        <v>29</v>
      </c>
      <c r="D187" s="55" t="s">
        <v>35</v>
      </c>
      <c r="E187" s="53">
        <v>2015</v>
      </c>
      <c r="F187" s="55"/>
      <c r="G187" s="55"/>
      <c r="H187" s="55"/>
      <c r="I187" s="56"/>
      <c r="J187" s="57"/>
      <c r="K187" s="20"/>
      <c r="L187" s="69"/>
      <c r="M187" s="25"/>
      <c r="N187" s="57"/>
      <c r="O187" s="20"/>
      <c r="P187" s="69"/>
      <c r="Q187" s="25"/>
      <c r="R187" s="57"/>
      <c r="S187" s="20"/>
      <c r="T187" s="69"/>
      <c r="U187" s="25"/>
      <c r="V187" s="57"/>
      <c r="W187" s="20"/>
      <c r="X187" s="36"/>
      <c r="Y187" s="20"/>
      <c r="Z187" s="36"/>
      <c r="AA187" s="20"/>
      <c r="AB187" s="36"/>
      <c r="AC187" s="20"/>
      <c r="AD187" s="36"/>
      <c r="AE187" s="20"/>
      <c r="AF187" s="36"/>
      <c r="AG187" s="20"/>
      <c r="AH187" s="49">
        <f t="shared" si="4"/>
        <v>0</v>
      </c>
      <c r="AI187" s="73">
        <f t="shared" si="4"/>
        <v>0</v>
      </c>
      <c r="AJ187" s="51"/>
      <c r="AK187" s="51"/>
      <c r="AL187" s="51"/>
      <c r="AM187" s="52"/>
      <c r="AN187" s="51"/>
      <c r="AO187" s="51"/>
    </row>
    <row r="188" spans="1:41">
      <c r="A188" s="54" t="s">
        <v>28</v>
      </c>
      <c r="B188" s="58">
        <v>100</v>
      </c>
      <c r="C188" s="48" t="s">
        <v>29</v>
      </c>
      <c r="D188" s="55" t="s">
        <v>35</v>
      </c>
      <c r="E188" s="53">
        <v>2015</v>
      </c>
      <c r="F188" s="55"/>
      <c r="G188" s="55"/>
      <c r="H188" s="55"/>
      <c r="I188" s="56"/>
      <c r="J188" s="57"/>
      <c r="K188" s="20"/>
      <c r="L188" s="69"/>
      <c r="M188" s="25"/>
      <c r="N188" s="57"/>
      <c r="O188" s="20"/>
      <c r="P188" s="69"/>
      <c r="Q188" s="25"/>
      <c r="R188" s="57"/>
      <c r="S188" s="20"/>
      <c r="T188" s="69"/>
      <c r="U188" s="25"/>
      <c r="V188" s="57"/>
      <c r="W188" s="20"/>
      <c r="X188" s="36"/>
      <c r="Y188" s="20"/>
      <c r="Z188" s="36"/>
      <c r="AA188" s="20"/>
      <c r="AB188" s="36"/>
      <c r="AC188" s="20"/>
      <c r="AD188" s="36"/>
      <c r="AE188" s="20"/>
      <c r="AF188" s="36"/>
      <c r="AG188" s="20"/>
      <c r="AH188" s="49">
        <f t="shared" si="4"/>
        <v>0</v>
      </c>
      <c r="AI188" s="73">
        <f t="shared" si="4"/>
        <v>0</v>
      </c>
      <c r="AJ188" s="51"/>
      <c r="AK188" s="51"/>
      <c r="AL188" s="51"/>
      <c r="AM188" s="52"/>
      <c r="AN188" s="51"/>
      <c r="AO188" s="51"/>
    </row>
    <row r="189" spans="1:41">
      <c r="A189" s="54" t="s">
        <v>28</v>
      </c>
      <c r="B189" s="58">
        <v>100</v>
      </c>
      <c r="C189" s="48" t="s">
        <v>29</v>
      </c>
      <c r="D189" s="55" t="s">
        <v>35</v>
      </c>
      <c r="E189" s="53">
        <v>2015</v>
      </c>
      <c r="F189" s="55"/>
      <c r="G189" s="55"/>
      <c r="H189" s="55"/>
      <c r="I189" s="56"/>
      <c r="J189" s="57"/>
      <c r="K189" s="20"/>
      <c r="L189" s="69"/>
      <c r="M189" s="25"/>
      <c r="N189" s="57"/>
      <c r="O189" s="20"/>
      <c r="P189" s="69"/>
      <c r="Q189" s="25"/>
      <c r="R189" s="57"/>
      <c r="S189" s="20"/>
      <c r="T189" s="69"/>
      <c r="U189" s="25"/>
      <c r="V189" s="57"/>
      <c r="W189" s="20"/>
      <c r="X189" s="36"/>
      <c r="Y189" s="20"/>
      <c r="Z189" s="36"/>
      <c r="AA189" s="20"/>
      <c r="AB189" s="36"/>
      <c r="AC189" s="20"/>
      <c r="AD189" s="36"/>
      <c r="AE189" s="20"/>
      <c r="AF189" s="36"/>
      <c r="AG189" s="20"/>
      <c r="AH189" s="49">
        <f t="shared" si="4"/>
        <v>0</v>
      </c>
      <c r="AI189" s="73">
        <f t="shared" si="4"/>
        <v>0</v>
      </c>
      <c r="AJ189" s="51"/>
      <c r="AK189" s="51"/>
      <c r="AL189" s="51"/>
      <c r="AM189" s="52"/>
      <c r="AN189" s="51"/>
      <c r="AO189" s="51"/>
    </row>
    <row r="190" spans="1:41">
      <c r="A190" s="54" t="s">
        <v>28</v>
      </c>
      <c r="B190" s="58">
        <v>100</v>
      </c>
      <c r="C190" s="48" t="s">
        <v>29</v>
      </c>
      <c r="D190" s="55" t="s">
        <v>35</v>
      </c>
      <c r="E190" s="53">
        <v>2015</v>
      </c>
      <c r="F190" s="55"/>
      <c r="G190" s="55"/>
      <c r="H190" s="55"/>
      <c r="I190" s="56"/>
      <c r="J190" s="57"/>
      <c r="K190" s="20"/>
      <c r="L190" s="69"/>
      <c r="M190" s="25"/>
      <c r="N190" s="57"/>
      <c r="O190" s="20"/>
      <c r="P190" s="69"/>
      <c r="Q190" s="25"/>
      <c r="R190" s="57"/>
      <c r="S190" s="20"/>
      <c r="T190" s="69"/>
      <c r="U190" s="25"/>
      <c r="V190" s="57"/>
      <c r="W190" s="20"/>
      <c r="X190" s="36"/>
      <c r="Y190" s="20"/>
      <c r="Z190" s="36"/>
      <c r="AA190" s="20"/>
      <c r="AB190" s="36"/>
      <c r="AC190" s="20"/>
      <c r="AD190" s="36"/>
      <c r="AE190" s="20"/>
      <c r="AF190" s="36"/>
      <c r="AG190" s="20"/>
      <c r="AH190" s="49">
        <f t="shared" si="4"/>
        <v>0</v>
      </c>
      <c r="AI190" s="73">
        <f t="shared" si="4"/>
        <v>0</v>
      </c>
      <c r="AJ190" s="51"/>
      <c r="AK190" s="51"/>
      <c r="AL190" s="51"/>
      <c r="AM190" s="52"/>
      <c r="AN190" s="51"/>
      <c r="AO190" s="51"/>
    </row>
    <row r="191" spans="1:41">
      <c r="A191" s="54" t="s">
        <v>28</v>
      </c>
      <c r="B191" s="58">
        <v>100</v>
      </c>
      <c r="C191" s="48" t="s">
        <v>29</v>
      </c>
      <c r="D191" s="55" t="s">
        <v>35</v>
      </c>
      <c r="E191" s="53">
        <v>2015</v>
      </c>
      <c r="F191" s="55"/>
      <c r="G191" s="55"/>
      <c r="H191" s="55"/>
      <c r="I191" s="56"/>
      <c r="J191" s="57"/>
      <c r="K191" s="20"/>
      <c r="L191" s="69"/>
      <c r="M191" s="25"/>
      <c r="N191" s="57"/>
      <c r="O191" s="20"/>
      <c r="P191" s="69"/>
      <c r="Q191" s="25"/>
      <c r="R191" s="57"/>
      <c r="S191" s="20"/>
      <c r="T191" s="69"/>
      <c r="U191" s="25"/>
      <c r="V191" s="57"/>
      <c r="W191" s="20"/>
      <c r="X191" s="36"/>
      <c r="Y191" s="20"/>
      <c r="Z191" s="36"/>
      <c r="AA191" s="20"/>
      <c r="AB191" s="36"/>
      <c r="AC191" s="20"/>
      <c r="AD191" s="36"/>
      <c r="AE191" s="20"/>
      <c r="AF191" s="36"/>
      <c r="AG191" s="20"/>
      <c r="AH191" s="49">
        <f t="shared" si="4"/>
        <v>0</v>
      </c>
      <c r="AI191" s="73">
        <f t="shared" si="4"/>
        <v>0</v>
      </c>
      <c r="AJ191" s="51"/>
      <c r="AK191" s="51"/>
      <c r="AL191" s="51"/>
      <c r="AM191" s="52"/>
      <c r="AN191" s="51"/>
      <c r="AO191" s="51"/>
    </row>
    <row r="192" spans="1:41">
      <c r="A192" s="54" t="s">
        <v>28</v>
      </c>
      <c r="B192" s="58">
        <v>100</v>
      </c>
      <c r="C192" s="48" t="s">
        <v>29</v>
      </c>
      <c r="D192" s="55" t="s">
        <v>35</v>
      </c>
      <c r="E192" s="53">
        <v>2015</v>
      </c>
      <c r="F192" s="55"/>
      <c r="G192" s="55"/>
      <c r="H192" s="55"/>
      <c r="I192" s="56"/>
      <c r="J192" s="57"/>
      <c r="K192" s="20"/>
      <c r="L192" s="69"/>
      <c r="M192" s="25"/>
      <c r="N192" s="57"/>
      <c r="O192" s="20"/>
      <c r="P192" s="69"/>
      <c r="Q192" s="25"/>
      <c r="R192" s="57"/>
      <c r="S192" s="20"/>
      <c r="T192" s="69"/>
      <c r="U192" s="25"/>
      <c r="V192" s="57"/>
      <c r="W192" s="20"/>
      <c r="X192" s="36"/>
      <c r="Y192" s="20"/>
      <c r="Z192" s="36"/>
      <c r="AA192" s="20"/>
      <c r="AB192" s="36"/>
      <c r="AC192" s="20"/>
      <c r="AD192" s="36"/>
      <c r="AE192" s="20"/>
      <c r="AF192" s="36"/>
      <c r="AG192" s="20"/>
      <c r="AH192" s="49">
        <f t="shared" si="4"/>
        <v>0</v>
      </c>
      <c r="AI192" s="73">
        <f t="shared" si="4"/>
        <v>0</v>
      </c>
      <c r="AJ192" s="51"/>
      <c r="AK192" s="51"/>
      <c r="AL192" s="51"/>
      <c r="AM192" s="52"/>
      <c r="AN192" s="51"/>
      <c r="AO192" s="51"/>
    </row>
  </sheetData>
  <mergeCells count="12">
    <mergeCell ref="AF3:AG3"/>
    <mergeCell ref="J3:K3"/>
    <mergeCell ref="L3:M3"/>
    <mergeCell ref="N3:O3"/>
    <mergeCell ref="P3:Q3"/>
    <mergeCell ref="R3:S3"/>
    <mergeCell ref="T3:U3"/>
    <mergeCell ref="V3:W3"/>
    <mergeCell ref="X3:Y3"/>
    <mergeCell ref="Z3:AA3"/>
    <mergeCell ref="AB3:AC3"/>
    <mergeCell ref="AD3:AE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1"/>
  <sheetViews>
    <sheetView zoomScaleNormal="100" zoomScalePageLayoutView="70" workbookViewId="0">
      <pane xSplit="3" ySplit="2" topLeftCell="D4" activePane="bottomRight" state="frozen"/>
      <selection activeCell="H8" sqref="H8"/>
      <selection pane="topRight" activeCell="H8" sqref="H8"/>
      <selection pane="bottomLeft" activeCell="H8" sqref="H8"/>
      <selection pane="bottomRight" activeCell="D14" sqref="D14"/>
    </sheetView>
  </sheetViews>
  <sheetFormatPr baseColWidth="10" defaultColWidth="9.1640625" defaultRowHeight="15"/>
  <cols>
    <col min="1" max="1" width="1.83203125" customWidth="1"/>
    <col min="2" max="2" width="9.83203125" customWidth="1"/>
    <col min="3" max="3" width="9.6640625" customWidth="1"/>
    <col min="4" max="4" width="22.83203125" bestFit="1" customWidth="1"/>
    <col min="5" max="5" width="18" customWidth="1"/>
    <col min="6" max="6" width="18.83203125" customWidth="1"/>
    <col min="7" max="7" width="18.5" customWidth="1"/>
    <col min="8" max="8" width="16.6640625" customWidth="1"/>
    <col min="9" max="9" width="17.5" customWidth="1"/>
    <col min="10" max="10" width="19" customWidth="1"/>
    <col min="11" max="11" width="18.5" customWidth="1"/>
    <col min="12" max="12" width="18" customWidth="1"/>
    <col min="13" max="13" width="18.83203125" customWidth="1"/>
    <col min="14" max="14" width="18.5" customWidth="1"/>
    <col min="15" max="15" width="19.33203125" customWidth="1"/>
    <col min="16" max="16" width="23.33203125" customWidth="1"/>
    <col min="17" max="17" width="19.5" customWidth="1"/>
    <col min="18" max="18" width="17.83203125" customWidth="1"/>
    <col min="19" max="19" width="19.5" customWidth="1"/>
    <col min="20" max="20" width="24" customWidth="1"/>
    <col min="21" max="28" width="15.1640625" customWidth="1"/>
    <col min="29" max="29" width="15" customWidth="1"/>
  </cols>
  <sheetData>
    <row r="1" spans="1:20" ht="16" thickBot="1"/>
    <row r="2" spans="1:20" s="3" customFormat="1" ht="46.5" customHeight="1" thickBot="1">
      <c r="A2" s="1"/>
      <c r="B2" s="88" t="s">
        <v>28</v>
      </c>
      <c r="C2" s="89"/>
      <c r="D2" s="2" t="s">
        <v>77</v>
      </c>
      <c r="E2" s="2" t="s">
        <v>78</v>
      </c>
      <c r="F2" s="2" t="s">
        <v>79</v>
      </c>
      <c r="G2" s="2" t="s">
        <v>21</v>
      </c>
      <c r="H2" s="2" t="s">
        <v>80</v>
      </c>
      <c r="I2" s="2" t="s">
        <v>81</v>
      </c>
      <c r="J2" s="2" t="s">
        <v>82</v>
      </c>
      <c r="K2" s="2" t="s">
        <v>22</v>
      </c>
      <c r="L2" s="2" t="s">
        <v>83</v>
      </c>
      <c r="M2" s="2" t="s">
        <v>84</v>
      </c>
      <c r="N2" s="2" t="s">
        <v>85</v>
      </c>
      <c r="O2" s="2" t="s">
        <v>23</v>
      </c>
      <c r="P2" s="2" t="s">
        <v>86</v>
      </c>
      <c r="Q2" s="2" t="s">
        <v>87</v>
      </c>
      <c r="R2" s="2" t="s">
        <v>88</v>
      </c>
      <c r="S2" s="2" t="s">
        <v>24</v>
      </c>
      <c r="T2" s="42" t="s">
        <v>89</v>
      </c>
    </row>
    <row r="3" spans="1:20" s="1" customFormat="1" ht="18.75" customHeight="1">
      <c r="B3" s="33"/>
      <c r="C3" s="33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1"/>
    </row>
    <row r="4" spans="1:20" ht="20" customHeight="1">
      <c r="B4" s="4" t="s">
        <v>32</v>
      </c>
      <c r="C4" s="4"/>
      <c r="D4" s="7">
        <f>'input Licensee sales'!E2</f>
        <v>14982.584000000001</v>
      </c>
      <c r="E4" s="7">
        <f>'input Licensee sales'!G2</f>
        <v>22213.506000000001</v>
      </c>
      <c r="F4" s="7">
        <f>'input Licensee sales'!I2</f>
        <v>19865.003000000001</v>
      </c>
      <c r="G4" s="7">
        <f>SUM(D4:F4)</f>
        <v>57061.093000000008</v>
      </c>
      <c r="H4" s="7">
        <f>'input Licensee sales'!K2</f>
        <v>30709.588999999996</v>
      </c>
      <c r="I4" s="7">
        <f>'input Licensee sales'!M2</f>
        <v>19682.843000000001</v>
      </c>
      <c r="J4" s="7">
        <f>'input Licensee sales'!O2</f>
        <v>19497.333000000002</v>
      </c>
      <c r="K4" s="7">
        <f>SUM(H4:J4)</f>
        <v>69889.764999999999</v>
      </c>
      <c r="L4" s="7">
        <f>'input Licensee sales'!Q2</f>
        <v>15145.169</v>
      </c>
      <c r="M4" s="7">
        <f>'input Licensee sales'!S2</f>
        <v>0</v>
      </c>
      <c r="N4" s="7">
        <f>'input Licensee sales'!U2</f>
        <v>0</v>
      </c>
      <c r="O4" s="7">
        <f>SUM(L4:N4)</f>
        <v>15145.169</v>
      </c>
      <c r="P4" s="7">
        <f>'input Licensee sales'!W2</f>
        <v>0</v>
      </c>
      <c r="Q4" s="7">
        <f>'input Licensee sales'!Y2</f>
        <v>0</v>
      </c>
      <c r="R4" s="7">
        <f>'input Licensee sales'!AA2</f>
        <v>0</v>
      </c>
      <c r="S4" s="7">
        <f>SUM(P4:R4)</f>
        <v>0</v>
      </c>
      <c r="T4" s="40">
        <f>G4+K4+O4+S4</f>
        <v>142096.027</v>
      </c>
    </row>
    <row r="5" spans="1:20" ht="20" customHeight="1">
      <c r="C5" s="4"/>
      <c r="D5" s="5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38"/>
    </row>
    <row r="6" spans="1:20" s="29" customFormat="1" ht="20" customHeight="1">
      <c r="B6" s="28" t="s">
        <v>0</v>
      </c>
      <c r="C6" s="26" t="s">
        <v>35</v>
      </c>
      <c r="D6" s="45">
        <f>'input Licensee sales'!F2</f>
        <v>302626520.40000015</v>
      </c>
      <c r="E6" s="45">
        <f>'input Licensee sales'!H2</f>
        <v>479514152.56000096</v>
      </c>
      <c r="F6" s="45">
        <f>'input Licensee sales'!J2</f>
        <v>437783611.80000037</v>
      </c>
      <c r="G6" s="45">
        <f>SUM(D6:F6)</f>
        <v>1219924284.7600014</v>
      </c>
      <c r="H6" s="45">
        <f>'input Licensee sales'!L2</f>
        <v>703959098.63000107</v>
      </c>
      <c r="I6" s="45">
        <f>'input Licensee sales'!N2</f>
        <v>465002567.51000059</v>
      </c>
      <c r="J6" s="45">
        <f>'input Licensee sales'!P2</f>
        <v>488427520.95000064</v>
      </c>
      <c r="K6" s="45">
        <f>SUM(H6:J6)</f>
        <v>1657389187.0900025</v>
      </c>
      <c r="L6" s="45">
        <f>'input Licensee sales'!R2</f>
        <v>365826235.47999996</v>
      </c>
      <c r="M6" s="45">
        <f>'input Licensee sales'!T2</f>
        <v>0</v>
      </c>
      <c r="N6" s="45">
        <f>'input Licensee sales'!V2</f>
        <v>0</v>
      </c>
      <c r="O6" s="45">
        <f>SUM(L6:N6)</f>
        <v>365826235.47999996</v>
      </c>
      <c r="P6" s="45">
        <f>'input Licensee sales'!X2</f>
        <v>0</v>
      </c>
      <c r="Q6" s="45">
        <f>'input Licensee sales'!Z2</f>
        <v>0</v>
      </c>
      <c r="R6" s="45">
        <f>'input Licensee sales'!AB2</f>
        <v>0</v>
      </c>
      <c r="S6" s="45">
        <f>SUM(P6:R6)</f>
        <v>0</v>
      </c>
      <c r="T6" s="27">
        <f>G6+K6+O6+S6</f>
        <v>3243139707.3300042</v>
      </c>
    </row>
    <row r="7" spans="1:20" ht="20" customHeight="1">
      <c r="B7" s="4"/>
      <c r="C7" s="32">
        <v>0.13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30"/>
    </row>
    <row r="8" spans="1:20" s="29" customFormat="1" ht="20" customHeight="1">
      <c r="B8" s="28" t="s">
        <v>1</v>
      </c>
      <c r="C8" s="26" t="str">
        <f>C6</f>
        <v>ARS</v>
      </c>
      <c r="D8" s="45">
        <f>$C7*D6</f>
        <v>39341447.652000025</v>
      </c>
      <c r="E8" s="45">
        <f t="shared" ref="E8:R8" si="0">$C7*E6</f>
        <v>62336839.832800128</v>
      </c>
      <c r="F8" s="45">
        <f t="shared" si="0"/>
        <v>56911869.534000047</v>
      </c>
      <c r="G8" s="45">
        <f>SUM(D8:F8)</f>
        <v>158590157.0188002</v>
      </c>
      <c r="H8" s="45">
        <f t="shared" si="0"/>
        <v>91514682.821900144</v>
      </c>
      <c r="I8" s="45">
        <f t="shared" si="0"/>
        <v>60450333.77630008</v>
      </c>
      <c r="J8" s="45">
        <f t="shared" si="0"/>
        <v>63495577.723500088</v>
      </c>
      <c r="K8" s="45">
        <f>SUM(H8:J8)</f>
        <v>215460594.32170033</v>
      </c>
      <c r="L8" s="45">
        <f t="shared" si="0"/>
        <v>47557410.612399995</v>
      </c>
      <c r="M8" s="45">
        <f t="shared" si="0"/>
        <v>0</v>
      </c>
      <c r="N8" s="45">
        <f t="shared" si="0"/>
        <v>0</v>
      </c>
      <c r="O8" s="45">
        <f>SUM(L8:N8)</f>
        <v>47557410.612399995</v>
      </c>
      <c r="P8" s="45">
        <f t="shared" si="0"/>
        <v>0</v>
      </c>
      <c r="Q8" s="45">
        <f t="shared" si="0"/>
        <v>0</v>
      </c>
      <c r="R8" s="45">
        <f t="shared" si="0"/>
        <v>0</v>
      </c>
      <c r="S8" s="45">
        <f>SUM(P8:R8)</f>
        <v>0</v>
      </c>
      <c r="T8" s="27">
        <f>G8+K8+O8+S8</f>
        <v>421608161.95290053</v>
      </c>
    </row>
    <row r="9" spans="1:20" ht="20" customHeight="1">
      <c r="B9" s="4"/>
      <c r="C9" s="8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</row>
    <row r="10" spans="1:20" ht="20" customHeight="1">
      <c r="C10" s="4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</row>
    <row r="11" spans="1:20" ht="20" customHeight="1"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 spans="1:20" ht="20" customHeight="1">
      <c r="C12" s="4"/>
      <c r="D12" s="10"/>
      <c r="E12" s="10"/>
      <c r="F12" s="10"/>
      <c r="G12" s="10"/>
      <c r="H12" s="10"/>
    </row>
    <row r="13" spans="1:20" ht="20" customHeight="1">
      <c r="C13" s="17"/>
      <c r="D13" s="90" t="s">
        <v>89</v>
      </c>
      <c r="E13" s="90"/>
      <c r="F13" s="90"/>
      <c r="G13" s="90"/>
      <c r="H13" s="11"/>
    </row>
    <row r="14" spans="1:20" ht="20" customHeight="1">
      <c r="C14" s="17"/>
      <c r="D14" s="11" t="s">
        <v>2</v>
      </c>
      <c r="E14" s="11" t="s">
        <v>3</v>
      </c>
      <c r="F14" s="11" t="s">
        <v>4</v>
      </c>
      <c r="G14" s="11" t="s">
        <v>8</v>
      </c>
      <c r="H14" s="11"/>
    </row>
    <row r="15" spans="1:20" ht="20" customHeight="1">
      <c r="B15" s="4" t="s">
        <v>32</v>
      </c>
      <c r="C15" s="17" t="s">
        <v>33</v>
      </c>
      <c r="D15" s="41"/>
      <c r="E15" s="41"/>
      <c r="F15" s="41"/>
      <c r="G15" s="41"/>
      <c r="H15" s="11"/>
    </row>
    <row r="16" spans="1:20" ht="20" customHeight="1">
      <c r="B16" s="4" t="s">
        <v>19</v>
      </c>
      <c r="C16" s="17" t="s">
        <v>33</v>
      </c>
      <c r="D16" s="41"/>
      <c r="E16" s="41"/>
      <c r="F16" s="41"/>
      <c r="G16" s="41"/>
      <c r="H16" s="11"/>
    </row>
    <row r="17" spans="2:8" ht="20" customHeight="1">
      <c r="B17" s="4"/>
      <c r="C17" s="4"/>
      <c r="D17" s="11"/>
      <c r="E17" s="11"/>
      <c r="F17" s="11"/>
      <c r="G17" s="11"/>
      <c r="H17" s="12"/>
    </row>
    <row r="18" spans="2:8" ht="20" customHeight="1">
      <c r="B18" s="4"/>
      <c r="C18" s="39"/>
      <c r="D18" s="11"/>
      <c r="E18" s="11"/>
      <c r="F18" s="11"/>
      <c r="G18" s="11"/>
      <c r="H18" s="11"/>
    </row>
    <row r="19" spans="2:8" ht="20" customHeight="1">
      <c r="B19" s="4"/>
      <c r="C19" s="4"/>
      <c r="D19" s="11"/>
      <c r="E19" s="11"/>
      <c r="F19" s="11"/>
      <c r="G19" s="11"/>
      <c r="H19" s="12"/>
    </row>
    <row r="20" spans="2:8" ht="20" customHeight="1">
      <c r="B20" s="4"/>
      <c r="C20" s="4"/>
      <c r="D20" s="11"/>
      <c r="E20" s="11"/>
      <c r="F20" s="11"/>
      <c r="G20" s="11"/>
      <c r="H20" s="11"/>
    </row>
    <row r="21" spans="2:8" ht="20" customHeight="1"/>
  </sheetData>
  <mergeCells count="2">
    <mergeCell ref="B2:C2"/>
    <mergeCell ref="D13:G13"/>
  </mergeCells>
  <phoneticPr fontId="89" type="noConversion"/>
  <pageMargins left="0.7" right="0.7" top="0.75" bottom="0.75" header="0.3" footer="0.3"/>
  <pageSetup paperSize="9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6"/>
  <sheetViews>
    <sheetView workbookViewId="0">
      <selection activeCell="F14" sqref="F14"/>
    </sheetView>
  </sheetViews>
  <sheetFormatPr baseColWidth="10" defaultColWidth="9.1640625" defaultRowHeight="15"/>
  <cols>
    <col min="1" max="1" width="19.6640625" bestFit="1" customWidth="1"/>
    <col min="2" max="2" width="11.6640625" bestFit="1" customWidth="1"/>
    <col min="3" max="3" width="9" bestFit="1" customWidth="1"/>
    <col min="4" max="4" width="5.33203125" style="16" customWidth="1"/>
    <col min="5" max="5" width="21" style="16" customWidth="1"/>
    <col min="6" max="6" width="15.5" bestFit="1" customWidth="1"/>
    <col min="7" max="7" width="10.33203125" bestFit="1" customWidth="1"/>
    <col min="8" max="8" width="16.5" bestFit="1" customWidth="1"/>
  </cols>
  <sheetData>
    <row r="1" spans="1:6" ht="16">
      <c r="A1" s="15" t="s">
        <v>6</v>
      </c>
      <c r="B1" s="15" t="s">
        <v>5</v>
      </c>
      <c r="C1" s="15" t="s">
        <v>7</v>
      </c>
      <c r="E1" s="14" t="s">
        <v>34</v>
      </c>
    </row>
    <row r="2" spans="1:6">
      <c r="A2" s="13" t="s">
        <v>28</v>
      </c>
      <c r="B2" s="13" t="s">
        <v>29</v>
      </c>
      <c r="C2" s="13" t="s">
        <v>27</v>
      </c>
      <c r="D2" s="16">
        <v>2014</v>
      </c>
      <c r="E2" s="18">
        <v>2362500</v>
      </c>
      <c r="F2" s="77"/>
    </row>
    <row r="3" spans="1:6">
      <c r="A3" s="13"/>
      <c r="B3" s="13"/>
      <c r="C3" s="13"/>
      <c r="E3" s="18"/>
    </row>
    <row r="4" spans="1:6">
      <c r="A4" s="13" t="s">
        <v>28</v>
      </c>
      <c r="B4" s="13" t="s">
        <v>29</v>
      </c>
      <c r="C4" s="13" t="s">
        <v>30</v>
      </c>
      <c r="D4" s="16">
        <v>2021</v>
      </c>
      <c r="E4" s="18">
        <v>86540</v>
      </c>
      <c r="F4" s="77"/>
    </row>
    <row r="5" spans="1:6">
      <c r="A5" s="13" t="s">
        <v>28</v>
      </c>
      <c r="B5" s="13" t="s">
        <v>29</v>
      </c>
      <c r="C5" s="13" t="s">
        <v>31</v>
      </c>
      <c r="D5" s="16">
        <v>2021</v>
      </c>
      <c r="E5" s="18">
        <v>11106</v>
      </c>
      <c r="F5" s="77"/>
    </row>
    <row r="6" spans="1:6">
      <c r="A6" s="13" t="s">
        <v>28</v>
      </c>
      <c r="B6" s="13" t="s">
        <v>29</v>
      </c>
      <c r="C6" s="13" t="s">
        <v>30</v>
      </c>
      <c r="D6" s="16">
        <v>2022</v>
      </c>
      <c r="E6" s="18">
        <v>112502</v>
      </c>
      <c r="F6" s="77"/>
    </row>
    <row r="7" spans="1:6">
      <c r="A7" s="13" t="s">
        <v>28</v>
      </c>
      <c r="B7" s="13" t="s">
        <v>29</v>
      </c>
      <c r="C7" s="13" t="s">
        <v>31</v>
      </c>
      <c r="D7" s="16">
        <v>2022</v>
      </c>
      <c r="E7" s="18">
        <v>22212</v>
      </c>
      <c r="F7" s="77"/>
    </row>
    <row r="8" spans="1:6">
      <c r="A8" s="13" t="s">
        <v>28</v>
      </c>
      <c r="B8" s="13" t="s">
        <v>29</v>
      </c>
      <c r="C8" s="13" t="s">
        <v>30</v>
      </c>
      <c r="D8" s="16">
        <v>2023</v>
      </c>
      <c r="E8" s="18">
        <v>129378</v>
      </c>
      <c r="F8" s="77"/>
    </row>
    <row r="9" spans="1:6">
      <c r="A9" s="13" t="s">
        <v>28</v>
      </c>
      <c r="B9" s="13" t="s">
        <v>29</v>
      </c>
      <c r="C9" s="13" t="s">
        <v>31</v>
      </c>
      <c r="D9" s="16">
        <v>2023</v>
      </c>
      <c r="E9" s="18">
        <v>33318</v>
      </c>
      <c r="F9" s="19"/>
    </row>
    <row r="10" spans="1:6">
      <c r="E10" s="18"/>
      <c r="F10" s="19"/>
    </row>
    <row r="11" spans="1:6">
      <c r="F11" s="19"/>
    </row>
    <row r="16" spans="1:6">
      <c r="F16" s="19"/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 Licensee sales</vt:lpstr>
      <vt:lpstr>input Licensee ooh</vt:lpstr>
      <vt:lpstr>monthly</vt:lpstr>
      <vt:lpstr>minimum agreed</vt:lpstr>
    </vt:vector>
  </TitlesOfParts>
  <Manager/>
  <Company>Dobotex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 Martina</dc:creator>
  <cp:keywords/>
  <dc:description/>
  <cp:lastModifiedBy>Francisco Balantzian</cp:lastModifiedBy>
  <dcterms:created xsi:type="dcterms:W3CDTF">2013-09-20T11:52:07Z</dcterms:created>
  <dcterms:modified xsi:type="dcterms:W3CDTF">2026-08-07T17:26:44Z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