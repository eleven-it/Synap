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Fran/Downloads/"/>
    </mc:Choice>
  </mc:AlternateContent>
  <xr:revisionPtr revIDLastSave="0" documentId="8_{FF19B441-63DA-C74E-928E-A091413D6D9C}" xr6:coauthVersionLast="47" xr6:coauthVersionMax="47" xr10:uidLastSave="{00000000-0000-0000-0000-000000000000}"/>
  <bookViews>
    <workbookView xWindow="4280" yWindow="760" windowWidth="24920" windowHeight="12360" xr2:uid="{00000000-000D-0000-FFFF-FFFF00000000}"/>
  </bookViews>
  <sheets>
    <sheet name="input Licensee sales" sheetId="4" r:id="rId1"/>
    <sheet name="monthl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E7" i="4" l="1"/>
  <c r="AF7" i="4"/>
  <c r="AG7" i="4"/>
  <c r="AH7" i="4"/>
  <c r="AI7" i="4"/>
  <c r="AJ7" i="4"/>
  <c r="AK7" i="4"/>
  <c r="AL7" i="4"/>
  <c r="AE8" i="4"/>
  <c r="AF8" i="4"/>
  <c r="AG8" i="4"/>
  <c r="AH8" i="4"/>
  <c r="AI8" i="4"/>
  <c r="AJ8" i="4"/>
  <c r="AK8" i="4"/>
  <c r="AL8" i="4"/>
  <c r="AE9" i="4"/>
  <c r="AF9" i="4"/>
  <c r="AG9" i="4"/>
  <c r="AH9" i="4"/>
  <c r="AI9" i="4"/>
  <c r="AJ9" i="4"/>
  <c r="AK9" i="4"/>
  <c r="AL9" i="4"/>
  <c r="AE10" i="4"/>
  <c r="AF10" i="4"/>
  <c r="AG10" i="4"/>
  <c r="AH10" i="4"/>
  <c r="AI10" i="4"/>
  <c r="AJ10" i="4"/>
  <c r="AK10" i="4"/>
  <c r="AL10" i="4"/>
  <c r="AE11" i="4"/>
  <c r="AF11" i="4"/>
  <c r="AG11" i="4"/>
  <c r="AH11" i="4"/>
  <c r="AI11" i="4"/>
  <c r="AJ11" i="4"/>
  <c r="AK11" i="4"/>
  <c r="AL11" i="4"/>
  <c r="AE12" i="4"/>
  <c r="AF12" i="4"/>
  <c r="AG12" i="4"/>
  <c r="AH12" i="4"/>
  <c r="AI12" i="4"/>
  <c r="AJ12" i="4"/>
  <c r="AK12" i="4"/>
  <c r="AL12" i="4"/>
  <c r="AE13" i="4"/>
  <c r="AF13" i="4"/>
  <c r="AG13" i="4"/>
  <c r="AH13" i="4"/>
  <c r="AI13" i="4"/>
  <c r="AJ13" i="4"/>
  <c r="AK13" i="4"/>
  <c r="AL13" i="4"/>
  <c r="AE14" i="4"/>
  <c r="AF14" i="4"/>
  <c r="AG14" i="4"/>
  <c r="AH14" i="4"/>
  <c r="AI14" i="4"/>
  <c r="AJ14" i="4"/>
  <c r="AK14" i="4"/>
  <c r="AL14" i="4"/>
  <c r="AE15" i="4"/>
  <c r="AF15" i="4"/>
  <c r="AG15" i="4"/>
  <c r="AH15" i="4"/>
  <c r="AI15" i="4"/>
  <c r="AJ15" i="4"/>
  <c r="AK15" i="4"/>
  <c r="AL15" i="4"/>
  <c r="AE16" i="4"/>
  <c r="AF16" i="4"/>
  <c r="AG16" i="4"/>
  <c r="AH16" i="4"/>
  <c r="AI16" i="4"/>
  <c r="AJ16" i="4"/>
  <c r="AK16" i="4"/>
  <c r="AL16" i="4"/>
  <c r="AE17" i="4"/>
  <c r="AF17" i="4"/>
  <c r="AG17" i="4"/>
  <c r="AH17" i="4"/>
  <c r="AI17" i="4"/>
  <c r="AJ17" i="4"/>
  <c r="AK17" i="4"/>
  <c r="AL17" i="4"/>
  <c r="AE18" i="4"/>
  <c r="AF18" i="4"/>
  <c r="AG18" i="4"/>
  <c r="AH18" i="4"/>
  <c r="AI18" i="4"/>
  <c r="AJ18" i="4"/>
  <c r="AK18" i="4"/>
  <c r="AL18" i="4"/>
  <c r="AE19" i="4"/>
  <c r="AF19" i="4"/>
  <c r="AG19" i="4"/>
  <c r="AH19" i="4"/>
  <c r="AI19" i="4"/>
  <c r="AJ19" i="4"/>
  <c r="AK19" i="4"/>
  <c r="AL19" i="4"/>
  <c r="AE20" i="4"/>
  <c r="AF20" i="4"/>
  <c r="AG20" i="4"/>
  <c r="AH20" i="4"/>
  <c r="AI20" i="4"/>
  <c r="AJ20" i="4"/>
  <c r="AK20" i="4"/>
  <c r="AL20" i="4"/>
  <c r="AE21" i="4"/>
  <c r="AF21" i="4"/>
  <c r="AG21" i="4"/>
  <c r="AH21" i="4"/>
  <c r="AI21" i="4"/>
  <c r="AJ21" i="4"/>
  <c r="AK21" i="4"/>
  <c r="AL21" i="4"/>
  <c r="AE22" i="4"/>
  <c r="AF22" i="4"/>
  <c r="AG22" i="4"/>
  <c r="AH22" i="4"/>
  <c r="AI22" i="4"/>
  <c r="AJ22" i="4"/>
  <c r="AK22" i="4"/>
  <c r="AL22" i="4"/>
  <c r="AE23" i="4"/>
  <c r="AF23" i="4"/>
  <c r="AG23" i="4"/>
  <c r="AH23" i="4"/>
  <c r="AI23" i="4"/>
  <c r="AJ23" i="4"/>
  <c r="AK23" i="4"/>
  <c r="AL23" i="4"/>
  <c r="AE24" i="4"/>
  <c r="AF24" i="4"/>
  <c r="AG24" i="4"/>
  <c r="AH24" i="4"/>
  <c r="AI24" i="4"/>
  <c r="AJ24" i="4"/>
  <c r="AK24" i="4"/>
  <c r="AL24" i="4"/>
  <c r="AE25" i="4"/>
  <c r="AF25" i="4"/>
  <c r="AG25" i="4"/>
  <c r="AH25" i="4"/>
  <c r="AI25" i="4"/>
  <c r="AJ25" i="4"/>
  <c r="AK25" i="4"/>
  <c r="AL25" i="4"/>
  <c r="AE26" i="4"/>
  <c r="AF26" i="4"/>
  <c r="AG26" i="4"/>
  <c r="AH26" i="4"/>
  <c r="AI26" i="4"/>
  <c r="AJ26" i="4"/>
  <c r="AK26" i="4"/>
  <c r="AL26" i="4"/>
  <c r="AE27" i="4"/>
  <c r="AF27" i="4"/>
  <c r="AG27" i="4"/>
  <c r="AH27" i="4"/>
  <c r="AI27" i="4"/>
  <c r="AJ27" i="4"/>
  <c r="AK27" i="4"/>
  <c r="AL27" i="4"/>
  <c r="AE28" i="4"/>
  <c r="AF28" i="4"/>
  <c r="AG28" i="4"/>
  <c r="AH28" i="4"/>
  <c r="AI28" i="4"/>
  <c r="AJ28" i="4"/>
  <c r="AK28" i="4"/>
  <c r="AL28" i="4"/>
  <c r="AE29" i="4"/>
  <c r="AF29" i="4"/>
  <c r="AG29" i="4"/>
  <c r="AH29" i="4"/>
  <c r="AI29" i="4"/>
  <c r="AJ29" i="4"/>
  <c r="AK29" i="4"/>
  <c r="AL29" i="4"/>
  <c r="AE30" i="4"/>
  <c r="AF30" i="4"/>
  <c r="AG30" i="4"/>
  <c r="AH30" i="4"/>
  <c r="AI30" i="4"/>
  <c r="AJ30" i="4"/>
  <c r="AK30" i="4"/>
  <c r="AL30" i="4"/>
  <c r="AE31" i="4"/>
  <c r="AF31" i="4"/>
  <c r="AG31" i="4"/>
  <c r="AH31" i="4"/>
  <c r="AI31" i="4"/>
  <c r="AJ31" i="4"/>
  <c r="AK31" i="4"/>
  <c r="AL31" i="4"/>
  <c r="AE32" i="4"/>
  <c r="AF32" i="4"/>
  <c r="AG32" i="4"/>
  <c r="AH32" i="4"/>
  <c r="AI32" i="4"/>
  <c r="AJ32" i="4"/>
  <c r="AK32" i="4"/>
  <c r="AL32" i="4"/>
  <c r="AE33" i="4"/>
  <c r="AF33" i="4"/>
  <c r="AG33" i="4"/>
  <c r="AH33" i="4"/>
  <c r="AI33" i="4"/>
  <c r="AJ33" i="4"/>
  <c r="AK33" i="4"/>
  <c r="AL33" i="4"/>
  <c r="AE34" i="4"/>
  <c r="AF34" i="4"/>
  <c r="AG34" i="4"/>
  <c r="AH34" i="4"/>
  <c r="AI34" i="4"/>
  <c r="AJ34" i="4"/>
  <c r="AK34" i="4"/>
  <c r="AL34" i="4"/>
  <c r="AE35" i="4"/>
  <c r="AF35" i="4"/>
  <c r="AG35" i="4"/>
  <c r="AH35" i="4"/>
  <c r="AI35" i="4"/>
  <c r="AJ35" i="4"/>
  <c r="AK35" i="4"/>
  <c r="AL35" i="4"/>
  <c r="AC7" i="4"/>
  <c r="AD7" i="4"/>
  <c r="AC8" i="4"/>
  <c r="AD8" i="4"/>
  <c r="AC9" i="4"/>
  <c r="AD9" i="4"/>
  <c r="AC10" i="4"/>
  <c r="AD10" i="4"/>
  <c r="AC11" i="4"/>
  <c r="AD11" i="4"/>
  <c r="AC12" i="4"/>
  <c r="AD12" i="4"/>
  <c r="AC13" i="4"/>
  <c r="AD13" i="4"/>
  <c r="AC14" i="4"/>
  <c r="AD14" i="4"/>
  <c r="AC15" i="4"/>
  <c r="AD15" i="4"/>
  <c r="AC16" i="4"/>
  <c r="AD16" i="4"/>
  <c r="AC17" i="4"/>
  <c r="AD17" i="4"/>
  <c r="AF4" i="4" l="1"/>
  <c r="AL4" i="4"/>
  <c r="AE135" i="4" l="1"/>
  <c r="AF135" i="4"/>
  <c r="AG135" i="4"/>
  <c r="AI135" i="4"/>
  <c r="AK135" i="4"/>
  <c r="AL135" i="4"/>
  <c r="AE136" i="4"/>
  <c r="AF136" i="4"/>
  <c r="AG136" i="4"/>
  <c r="AI136" i="4"/>
  <c r="AK136" i="4"/>
  <c r="AL136" i="4"/>
  <c r="AK5" i="4" l="1"/>
  <c r="AK6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L99" i="4"/>
  <c r="AE5" i="4"/>
  <c r="AG5" i="4"/>
  <c r="AI5" i="4"/>
  <c r="AE6" i="4"/>
  <c r="AG6" i="4"/>
  <c r="AI6" i="4"/>
  <c r="AE36" i="4"/>
  <c r="AG36" i="4"/>
  <c r="AI36" i="4"/>
  <c r="AE37" i="4"/>
  <c r="AG37" i="4"/>
  <c r="AI37" i="4"/>
  <c r="AE38" i="4"/>
  <c r="AG38" i="4"/>
  <c r="AI38" i="4"/>
  <c r="AE39" i="4"/>
  <c r="AG39" i="4"/>
  <c r="AI39" i="4"/>
  <c r="AE40" i="4"/>
  <c r="AG40" i="4"/>
  <c r="AI40" i="4"/>
  <c r="AE41" i="4"/>
  <c r="AG41" i="4"/>
  <c r="AI41" i="4"/>
  <c r="AE42" i="4"/>
  <c r="AG42" i="4"/>
  <c r="AI42" i="4"/>
  <c r="AE43" i="4"/>
  <c r="AG43" i="4"/>
  <c r="AI43" i="4"/>
  <c r="AE44" i="4"/>
  <c r="AG44" i="4"/>
  <c r="AI44" i="4"/>
  <c r="AE45" i="4"/>
  <c r="AG45" i="4"/>
  <c r="AI45" i="4"/>
  <c r="AE46" i="4"/>
  <c r="AG46" i="4"/>
  <c r="AI46" i="4"/>
  <c r="AE47" i="4"/>
  <c r="AG47" i="4"/>
  <c r="AI47" i="4"/>
  <c r="AE48" i="4"/>
  <c r="AG48" i="4"/>
  <c r="AI48" i="4"/>
  <c r="AE49" i="4"/>
  <c r="AG49" i="4"/>
  <c r="AI49" i="4"/>
  <c r="AE50" i="4"/>
  <c r="AG50" i="4"/>
  <c r="AI50" i="4"/>
  <c r="AE51" i="4"/>
  <c r="AG51" i="4"/>
  <c r="AI51" i="4"/>
  <c r="AE52" i="4"/>
  <c r="AG52" i="4"/>
  <c r="AI52" i="4"/>
  <c r="AE53" i="4"/>
  <c r="AG53" i="4"/>
  <c r="AI53" i="4"/>
  <c r="AE54" i="4"/>
  <c r="AG54" i="4"/>
  <c r="AI54" i="4"/>
  <c r="AE55" i="4"/>
  <c r="AG55" i="4"/>
  <c r="AI55" i="4"/>
  <c r="AE56" i="4"/>
  <c r="AG56" i="4"/>
  <c r="AI56" i="4"/>
  <c r="AE57" i="4"/>
  <c r="AG57" i="4"/>
  <c r="AI57" i="4"/>
  <c r="AE58" i="4"/>
  <c r="AG58" i="4"/>
  <c r="AI58" i="4"/>
  <c r="AE59" i="4"/>
  <c r="AG59" i="4"/>
  <c r="AI59" i="4"/>
  <c r="AE60" i="4"/>
  <c r="AG60" i="4"/>
  <c r="AI60" i="4"/>
  <c r="AE61" i="4"/>
  <c r="AG61" i="4"/>
  <c r="AI61" i="4"/>
  <c r="AE62" i="4"/>
  <c r="AG62" i="4"/>
  <c r="AI62" i="4"/>
  <c r="AE63" i="4"/>
  <c r="AG63" i="4"/>
  <c r="AI63" i="4"/>
  <c r="AE64" i="4"/>
  <c r="AG64" i="4"/>
  <c r="AI64" i="4"/>
  <c r="AE65" i="4"/>
  <c r="AG65" i="4"/>
  <c r="AI65" i="4"/>
  <c r="AE66" i="4"/>
  <c r="AG66" i="4"/>
  <c r="AI66" i="4"/>
  <c r="AE67" i="4"/>
  <c r="AG67" i="4"/>
  <c r="AI67" i="4"/>
  <c r="AE68" i="4"/>
  <c r="AG68" i="4"/>
  <c r="AI68" i="4"/>
  <c r="AE69" i="4"/>
  <c r="AG69" i="4"/>
  <c r="AI69" i="4"/>
  <c r="AE70" i="4"/>
  <c r="AG70" i="4"/>
  <c r="AI70" i="4"/>
  <c r="AE71" i="4"/>
  <c r="AG71" i="4"/>
  <c r="AI71" i="4"/>
  <c r="AE72" i="4"/>
  <c r="AG72" i="4"/>
  <c r="AI72" i="4"/>
  <c r="AE73" i="4"/>
  <c r="AG73" i="4"/>
  <c r="AI73" i="4"/>
  <c r="AE74" i="4"/>
  <c r="AG74" i="4"/>
  <c r="AI74" i="4"/>
  <c r="AE75" i="4"/>
  <c r="AG75" i="4"/>
  <c r="AI75" i="4"/>
  <c r="AE76" i="4"/>
  <c r="AG76" i="4"/>
  <c r="AI76" i="4"/>
  <c r="AE77" i="4"/>
  <c r="AG77" i="4"/>
  <c r="AI77" i="4"/>
  <c r="AE78" i="4"/>
  <c r="AG78" i="4"/>
  <c r="AI78" i="4"/>
  <c r="AE79" i="4"/>
  <c r="AG79" i="4"/>
  <c r="AI79" i="4"/>
  <c r="AE80" i="4"/>
  <c r="AG80" i="4"/>
  <c r="AI80" i="4"/>
  <c r="AE81" i="4"/>
  <c r="AG81" i="4"/>
  <c r="AI81" i="4"/>
  <c r="AE82" i="4"/>
  <c r="AG82" i="4"/>
  <c r="AI82" i="4"/>
  <c r="AE83" i="4"/>
  <c r="AG83" i="4"/>
  <c r="AI83" i="4"/>
  <c r="AE84" i="4"/>
  <c r="AG84" i="4"/>
  <c r="AI84" i="4"/>
  <c r="AE85" i="4"/>
  <c r="AG85" i="4"/>
  <c r="AI85" i="4"/>
  <c r="AE86" i="4"/>
  <c r="AG86" i="4"/>
  <c r="AI86" i="4"/>
  <c r="AE87" i="4"/>
  <c r="AG87" i="4"/>
  <c r="AI87" i="4"/>
  <c r="AE88" i="4"/>
  <c r="AG88" i="4"/>
  <c r="AI88" i="4"/>
  <c r="AE89" i="4"/>
  <c r="AG89" i="4"/>
  <c r="AI89" i="4"/>
  <c r="AE90" i="4"/>
  <c r="AG90" i="4"/>
  <c r="AI90" i="4"/>
  <c r="AE91" i="4"/>
  <c r="AG91" i="4"/>
  <c r="AI91" i="4"/>
  <c r="AE92" i="4"/>
  <c r="AG92" i="4"/>
  <c r="AI92" i="4"/>
  <c r="AE93" i="4"/>
  <c r="AG93" i="4"/>
  <c r="AI93" i="4"/>
  <c r="AE94" i="4"/>
  <c r="AG94" i="4"/>
  <c r="AI94" i="4"/>
  <c r="AE95" i="4"/>
  <c r="AG95" i="4"/>
  <c r="AI95" i="4"/>
  <c r="AE96" i="4"/>
  <c r="AG96" i="4"/>
  <c r="AI96" i="4"/>
  <c r="AE97" i="4"/>
  <c r="AG97" i="4"/>
  <c r="AI97" i="4"/>
  <c r="AE98" i="4"/>
  <c r="AG98" i="4"/>
  <c r="AI98" i="4"/>
  <c r="AE99" i="4"/>
  <c r="AG99" i="4"/>
  <c r="AI99" i="4"/>
  <c r="AE100" i="4"/>
  <c r="AG100" i="4"/>
  <c r="AI100" i="4"/>
  <c r="AE101" i="4"/>
  <c r="AG101" i="4"/>
  <c r="AI101" i="4"/>
  <c r="AE102" i="4"/>
  <c r="AG102" i="4"/>
  <c r="AI102" i="4"/>
  <c r="AE103" i="4"/>
  <c r="AG103" i="4"/>
  <c r="AI103" i="4"/>
  <c r="AE104" i="4"/>
  <c r="AG104" i="4"/>
  <c r="AI104" i="4"/>
  <c r="AE105" i="4"/>
  <c r="AG105" i="4"/>
  <c r="AI105" i="4"/>
  <c r="AE106" i="4"/>
  <c r="AG106" i="4"/>
  <c r="AI106" i="4"/>
  <c r="AE107" i="4"/>
  <c r="AG107" i="4"/>
  <c r="AI107" i="4"/>
  <c r="AE108" i="4"/>
  <c r="AG108" i="4"/>
  <c r="AI108" i="4"/>
  <c r="AE109" i="4"/>
  <c r="AG109" i="4"/>
  <c r="AI109" i="4"/>
  <c r="AE110" i="4"/>
  <c r="AG110" i="4"/>
  <c r="AI110" i="4"/>
  <c r="AE111" i="4"/>
  <c r="AG111" i="4"/>
  <c r="AI111" i="4"/>
  <c r="AE112" i="4"/>
  <c r="AG112" i="4"/>
  <c r="AI112" i="4"/>
  <c r="AE113" i="4"/>
  <c r="AG113" i="4"/>
  <c r="AI113" i="4"/>
  <c r="AE114" i="4"/>
  <c r="AG114" i="4"/>
  <c r="AI114" i="4"/>
  <c r="AE115" i="4"/>
  <c r="AG115" i="4"/>
  <c r="AI115" i="4"/>
  <c r="AE116" i="4"/>
  <c r="AG116" i="4"/>
  <c r="AI116" i="4"/>
  <c r="AE117" i="4"/>
  <c r="AG117" i="4"/>
  <c r="AI117" i="4"/>
  <c r="AE118" i="4"/>
  <c r="AG118" i="4"/>
  <c r="AI118" i="4"/>
  <c r="AE119" i="4"/>
  <c r="AG119" i="4"/>
  <c r="AI119" i="4"/>
  <c r="AE120" i="4"/>
  <c r="AG120" i="4"/>
  <c r="AI120" i="4"/>
  <c r="AE121" i="4"/>
  <c r="AG121" i="4"/>
  <c r="AI121" i="4"/>
  <c r="AE122" i="4"/>
  <c r="AG122" i="4"/>
  <c r="AI122" i="4"/>
  <c r="AE123" i="4"/>
  <c r="AG123" i="4"/>
  <c r="AI123" i="4"/>
  <c r="AE124" i="4"/>
  <c r="AG124" i="4"/>
  <c r="AI124" i="4"/>
  <c r="AE125" i="4"/>
  <c r="AG125" i="4"/>
  <c r="AI125" i="4"/>
  <c r="AE126" i="4"/>
  <c r="AG126" i="4"/>
  <c r="AI126" i="4"/>
  <c r="AE127" i="4"/>
  <c r="AG127" i="4"/>
  <c r="AI127" i="4"/>
  <c r="AE128" i="4"/>
  <c r="AG128" i="4"/>
  <c r="AI128" i="4"/>
  <c r="AE129" i="4"/>
  <c r="AG129" i="4"/>
  <c r="AI129" i="4"/>
  <c r="AE130" i="4"/>
  <c r="AG130" i="4"/>
  <c r="AI130" i="4"/>
  <c r="AE131" i="4"/>
  <c r="AG131" i="4"/>
  <c r="AI131" i="4"/>
  <c r="AE132" i="4"/>
  <c r="AG132" i="4"/>
  <c r="AI132" i="4"/>
  <c r="AE133" i="4"/>
  <c r="AG133" i="4"/>
  <c r="AI133" i="4"/>
  <c r="AE134" i="4"/>
  <c r="AG134" i="4"/>
  <c r="AI134" i="4"/>
  <c r="AC44" i="4"/>
  <c r="AD44" i="4"/>
  <c r="AC45" i="4"/>
  <c r="AD45" i="4"/>
  <c r="AL127" i="4" l="1"/>
  <c r="AL118" i="4"/>
  <c r="AL109" i="4"/>
  <c r="AL95" i="4"/>
  <c r="AL90" i="4"/>
  <c r="AL79" i="4"/>
  <c r="AL74" i="4"/>
  <c r="AL63" i="4"/>
  <c r="AL58" i="4"/>
  <c r="AL47" i="4"/>
  <c r="AL42" i="4"/>
  <c r="AL131" i="4"/>
  <c r="AL122" i="4"/>
  <c r="AL113" i="4"/>
  <c r="AL5" i="4"/>
  <c r="AL36" i="4"/>
  <c r="AL40" i="4"/>
  <c r="AL44" i="4"/>
  <c r="AL48" i="4"/>
  <c r="AL52" i="4"/>
  <c r="AL56" i="4"/>
  <c r="AL60" i="4"/>
  <c r="AL64" i="4"/>
  <c r="AL68" i="4"/>
  <c r="AL72" i="4"/>
  <c r="AL76" i="4"/>
  <c r="AL80" i="4"/>
  <c r="AL84" i="4"/>
  <c r="AL88" i="4"/>
  <c r="AL92" i="4"/>
  <c r="AL96" i="4"/>
  <c r="AL100" i="4"/>
  <c r="AL104" i="4"/>
  <c r="AL108" i="4"/>
  <c r="AL112" i="4"/>
  <c r="AL116" i="4"/>
  <c r="AL120" i="4"/>
  <c r="AL124" i="4"/>
  <c r="AL128" i="4"/>
  <c r="AL132" i="4"/>
  <c r="AL6" i="4"/>
  <c r="AL37" i="4"/>
  <c r="AL41" i="4"/>
  <c r="AL45" i="4"/>
  <c r="AL49" i="4"/>
  <c r="AL53" i="4"/>
  <c r="AL57" i="4"/>
  <c r="AL61" i="4"/>
  <c r="AL65" i="4"/>
  <c r="AL69" i="4"/>
  <c r="AL73" i="4"/>
  <c r="AL77" i="4"/>
  <c r="AL81" i="4"/>
  <c r="AL85" i="4"/>
  <c r="AL89" i="4"/>
  <c r="AL93" i="4"/>
  <c r="AL126" i="4"/>
  <c r="AL117" i="4"/>
  <c r="AL103" i="4"/>
  <c r="AL94" i="4"/>
  <c r="AL83" i="4"/>
  <c r="AL78" i="4"/>
  <c r="AL67" i="4"/>
  <c r="AL62" i="4"/>
  <c r="AL51" i="4"/>
  <c r="AL46" i="4"/>
  <c r="AL130" i="4"/>
  <c r="AL121" i="4"/>
  <c r="AL107" i="4"/>
  <c r="AL98" i="4"/>
  <c r="AL134" i="4"/>
  <c r="AL125" i="4"/>
  <c r="AL111" i="4"/>
  <c r="AL102" i="4"/>
  <c r="AL87" i="4"/>
  <c r="AL82" i="4"/>
  <c r="AL71" i="4"/>
  <c r="AL66" i="4"/>
  <c r="AL55" i="4"/>
  <c r="AL50" i="4"/>
  <c r="AL39" i="4"/>
  <c r="AL129" i="4"/>
  <c r="AL115" i="4"/>
  <c r="AL106" i="4"/>
  <c r="AL97" i="4"/>
  <c r="AL133" i="4"/>
  <c r="AL119" i="4"/>
  <c r="AL110" i="4"/>
  <c r="AL101" i="4"/>
  <c r="AL91" i="4"/>
  <c r="AL86" i="4"/>
  <c r="AL75" i="4"/>
  <c r="AL70" i="4"/>
  <c r="AL59" i="4"/>
  <c r="AL54" i="4"/>
  <c r="AL43" i="4"/>
  <c r="AL38" i="4"/>
  <c r="AL123" i="4"/>
  <c r="AL114" i="4"/>
  <c r="AL105" i="4"/>
  <c r="AC110" i="4" l="1"/>
  <c r="AD110" i="4"/>
  <c r="AC49" i="4"/>
  <c r="AD49" i="4"/>
  <c r="AC50" i="4"/>
  <c r="AD50" i="4"/>
  <c r="AC51" i="4"/>
  <c r="AD51" i="4"/>
  <c r="AC52" i="4"/>
  <c r="AD52" i="4"/>
  <c r="AC53" i="4"/>
  <c r="AD53" i="4"/>
  <c r="AC54" i="4"/>
  <c r="AD54" i="4"/>
  <c r="AC55" i="4"/>
  <c r="AD55" i="4"/>
  <c r="AC56" i="4"/>
  <c r="AD56" i="4"/>
  <c r="AC57" i="4"/>
  <c r="AD57" i="4"/>
  <c r="AC58" i="4"/>
  <c r="AD58" i="4"/>
  <c r="AC59" i="4"/>
  <c r="AD59" i="4"/>
  <c r="AC60" i="4"/>
  <c r="AD60" i="4"/>
  <c r="AC61" i="4"/>
  <c r="AD61" i="4"/>
  <c r="AC62" i="4"/>
  <c r="AD62" i="4"/>
  <c r="AC63" i="4"/>
  <c r="AD63" i="4"/>
  <c r="AC64" i="4"/>
  <c r="AD64" i="4"/>
  <c r="AC65" i="4"/>
  <c r="AD65" i="4"/>
  <c r="AC66" i="4"/>
  <c r="AD66" i="4"/>
  <c r="AC67" i="4"/>
  <c r="AD67" i="4"/>
  <c r="AC68" i="4"/>
  <c r="AD68" i="4"/>
  <c r="AC69" i="4"/>
  <c r="AD69" i="4"/>
  <c r="AC70" i="4"/>
  <c r="AD70" i="4"/>
  <c r="AC71" i="4"/>
  <c r="AD71" i="4"/>
  <c r="AC72" i="4"/>
  <c r="AD72" i="4"/>
  <c r="AC73" i="4"/>
  <c r="AD73" i="4"/>
  <c r="AC74" i="4"/>
  <c r="AD74" i="4"/>
  <c r="AC75" i="4"/>
  <c r="AD75" i="4"/>
  <c r="AC76" i="4"/>
  <c r="AD76" i="4"/>
  <c r="AC77" i="4"/>
  <c r="AD77" i="4"/>
  <c r="AC78" i="4"/>
  <c r="AD78" i="4"/>
  <c r="AC79" i="4"/>
  <c r="AD79" i="4"/>
  <c r="AC80" i="4"/>
  <c r="AD80" i="4"/>
  <c r="AC81" i="4"/>
  <c r="AD81" i="4"/>
  <c r="AC82" i="4"/>
  <c r="AD82" i="4"/>
  <c r="AC83" i="4"/>
  <c r="AD83" i="4"/>
  <c r="AC84" i="4"/>
  <c r="AD84" i="4"/>
  <c r="AC85" i="4"/>
  <c r="AD85" i="4"/>
  <c r="AC86" i="4"/>
  <c r="AD86" i="4"/>
  <c r="AC87" i="4"/>
  <c r="AD87" i="4"/>
  <c r="AC88" i="4"/>
  <c r="AD88" i="4"/>
  <c r="AC89" i="4"/>
  <c r="AD89" i="4"/>
  <c r="AC90" i="4"/>
  <c r="AD90" i="4"/>
  <c r="AC91" i="4"/>
  <c r="AD91" i="4"/>
  <c r="AC92" i="4"/>
  <c r="AD92" i="4"/>
  <c r="AC93" i="4"/>
  <c r="AD93" i="4"/>
  <c r="AC94" i="4"/>
  <c r="AD94" i="4"/>
  <c r="AC95" i="4"/>
  <c r="AD95" i="4"/>
  <c r="AC96" i="4"/>
  <c r="AD96" i="4"/>
  <c r="AC97" i="4"/>
  <c r="AD97" i="4"/>
  <c r="AC98" i="4"/>
  <c r="AD98" i="4"/>
  <c r="AC99" i="4"/>
  <c r="AD99" i="4"/>
  <c r="AC100" i="4"/>
  <c r="AD100" i="4"/>
  <c r="AC101" i="4"/>
  <c r="AD101" i="4"/>
  <c r="AC102" i="4"/>
  <c r="AD102" i="4"/>
  <c r="AC103" i="4"/>
  <c r="AD103" i="4"/>
  <c r="AC104" i="4"/>
  <c r="AD104" i="4"/>
  <c r="AC105" i="4"/>
  <c r="AD105" i="4"/>
  <c r="AC106" i="4"/>
  <c r="AD106" i="4"/>
  <c r="AC107" i="4"/>
  <c r="AD107" i="4"/>
  <c r="AC108" i="4"/>
  <c r="AD108" i="4"/>
  <c r="AC109" i="4"/>
  <c r="AD109" i="4"/>
  <c r="AC111" i="4"/>
  <c r="AD111" i="4"/>
  <c r="AC112" i="4"/>
  <c r="AD112" i="4"/>
  <c r="AC113" i="4"/>
  <c r="AD113" i="4"/>
  <c r="AC114" i="4"/>
  <c r="AD114" i="4"/>
  <c r="AC115" i="4"/>
  <c r="AD115" i="4"/>
  <c r="AC116" i="4"/>
  <c r="AD116" i="4"/>
  <c r="AC117" i="4"/>
  <c r="AD117" i="4"/>
  <c r="AC118" i="4"/>
  <c r="AD118" i="4"/>
  <c r="AC119" i="4"/>
  <c r="AD119" i="4"/>
  <c r="AC120" i="4"/>
  <c r="AD120" i="4"/>
  <c r="AC121" i="4"/>
  <c r="AD121" i="4"/>
  <c r="AC122" i="4"/>
  <c r="AD122" i="4"/>
  <c r="AC123" i="4"/>
  <c r="AD123" i="4"/>
  <c r="AC124" i="4"/>
  <c r="AD124" i="4"/>
  <c r="AC125" i="4"/>
  <c r="AD125" i="4"/>
  <c r="AC126" i="4"/>
  <c r="AD126" i="4"/>
  <c r="AC127" i="4"/>
  <c r="AD127" i="4"/>
  <c r="AC128" i="4"/>
  <c r="AD128" i="4"/>
  <c r="AC129" i="4"/>
  <c r="AD129" i="4"/>
  <c r="AC130" i="4"/>
  <c r="AD130" i="4"/>
  <c r="AC131" i="4"/>
  <c r="AD131" i="4"/>
  <c r="AC132" i="4"/>
  <c r="AD132" i="4"/>
  <c r="AC133" i="4"/>
  <c r="AD133" i="4"/>
  <c r="AC134" i="4"/>
  <c r="AD134" i="4"/>
  <c r="AC135" i="4"/>
  <c r="AD135" i="4"/>
  <c r="AC136" i="4"/>
  <c r="AD136" i="4"/>
  <c r="AC137" i="4"/>
  <c r="AD137" i="4"/>
  <c r="AC138" i="4"/>
  <c r="AD138" i="4"/>
  <c r="AC139" i="4"/>
  <c r="AD139" i="4"/>
  <c r="AC140" i="4"/>
  <c r="AD140" i="4"/>
  <c r="AC141" i="4"/>
  <c r="AD141" i="4"/>
  <c r="AC142" i="4"/>
  <c r="AD142" i="4"/>
  <c r="AC143" i="4"/>
  <c r="AD143" i="4"/>
  <c r="AC144" i="4"/>
  <c r="AD144" i="4"/>
  <c r="AC145" i="4"/>
  <c r="AD145" i="4"/>
  <c r="AC146" i="4"/>
  <c r="AD146" i="4"/>
  <c r="AC147" i="4"/>
  <c r="AD147" i="4"/>
  <c r="AC148" i="4"/>
  <c r="AD148" i="4"/>
  <c r="AC149" i="4"/>
  <c r="AD149" i="4"/>
  <c r="AC150" i="4"/>
  <c r="AD150" i="4"/>
  <c r="AC151" i="4"/>
  <c r="AD151" i="4"/>
  <c r="AC152" i="4"/>
  <c r="AD152" i="4"/>
  <c r="AC153" i="4"/>
  <c r="AD153" i="4"/>
  <c r="AC154" i="4"/>
  <c r="AD154" i="4"/>
  <c r="AC155" i="4"/>
  <c r="AD155" i="4"/>
  <c r="AC156" i="4"/>
  <c r="AD156" i="4"/>
  <c r="AC157" i="4"/>
  <c r="AD157" i="4"/>
  <c r="AC158" i="4"/>
  <c r="AD158" i="4"/>
  <c r="AC159" i="4"/>
  <c r="AD159" i="4"/>
  <c r="AC160" i="4"/>
  <c r="AD160" i="4"/>
  <c r="AC161" i="4"/>
  <c r="AD161" i="4"/>
  <c r="AC162" i="4"/>
  <c r="AD162" i="4"/>
  <c r="AC163" i="4"/>
  <c r="AD163" i="4"/>
  <c r="AC164" i="4"/>
  <c r="AD164" i="4"/>
  <c r="AC165" i="4"/>
  <c r="AD165" i="4"/>
  <c r="AC166" i="4"/>
  <c r="AD166" i="4"/>
  <c r="AC167" i="4"/>
  <c r="AD167" i="4"/>
  <c r="AC168" i="4"/>
  <c r="AD168" i="4"/>
  <c r="AC169" i="4"/>
  <c r="AD169" i="4"/>
  <c r="AC170" i="4"/>
  <c r="AD170" i="4"/>
  <c r="AC171" i="4"/>
  <c r="AD171" i="4"/>
  <c r="AC172" i="4"/>
  <c r="AD172" i="4"/>
  <c r="AC173" i="4"/>
  <c r="AD173" i="4"/>
  <c r="AC174" i="4"/>
  <c r="AD174" i="4"/>
  <c r="AC175" i="4"/>
  <c r="AD175" i="4"/>
  <c r="AC176" i="4"/>
  <c r="AD176" i="4"/>
  <c r="AC177" i="4"/>
  <c r="AD177" i="4"/>
  <c r="AC178" i="4"/>
  <c r="AD178" i="4"/>
  <c r="AC179" i="4"/>
  <c r="AD179" i="4"/>
  <c r="AC180" i="4"/>
  <c r="AD180" i="4"/>
  <c r="AC181" i="4"/>
  <c r="AD181" i="4"/>
  <c r="AC182" i="4"/>
  <c r="AD182" i="4"/>
  <c r="AC183" i="4"/>
  <c r="AD183" i="4"/>
  <c r="AC184" i="4"/>
  <c r="AD184" i="4"/>
  <c r="AC185" i="4"/>
  <c r="AD185" i="4"/>
  <c r="AC186" i="4"/>
  <c r="AD186" i="4"/>
  <c r="AC187" i="4"/>
  <c r="AD187" i="4"/>
  <c r="AC188" i="4"/>
  <c r="AD188" i="4"/>
  <c r="AC189" i="4"/>
  <c r="AD189" i="4"/>
  <c r="AJ4" i="4" l="1"/>
  <c r="AJ135" i="4" l="1"/>
  <c r="AJ136" i="4"/>
  <c r="AJ70" i="4"/>
  <c r="AJ78" i="4"/>
  <c r="AJ38" i="4"/>
  <c r="AJ42" i="4"/>
  <c r="AJ46" i="4"/>
  <c r="AJ50" i="4"/>
  <c r="AJ54" i="4"/>
  <c r="AJ58" i="4"/>
  <c r="AJ62" i="4"/>
  <c r="AJ66" i="4"/>
  <c r="AJ74" i="4"/>
  <c r="AJ82" i="4"/>
  <c r="AJ57" i="4"/>
  <c r="AJ60" i="4"/>
  <c r="AJ63" i="4"/>
  <c r="AJ90" i="4"/>
  <c r="AJ94" i="4"/>
  <c r="AJ98" i="4"/>
  <c r="AJ102" i="4"/>
  <c r="AJ106" i="4"/>
  <c r="AJ110" i="4"/>
  <c r="AJ114" i="4"/>
  <c r="AJ118" i="4"/>
  <c r="AJ122" i="4"/>
  <c r="AJ126" i="4"/>
  <c r="AJ130" i="4"/>
  <c r="AJ134" i="4"/>
  <c r="AJ85" i="4"/>
  <c r="AJ96" i="4"/>
  <c r="AJ128" i="4"/>
  <c r="AJ119" i="4"/>
  <c r="AJ45" i="4"/>
  <c r="AJ48" i="4"/>
  <c r="AJ51" i="4"/>
  <c r="AJ77" i="4"/>
  <c r="AJ80" i="4"/>
  <c r="AJ83" i="4"/>
  <c r="AJ86" i="4"/>
  <c r="AJ121" i="4"/>
  <c r="AJ133" i="4"/>
  <c r="AJ53" i="4"/>
  <c r="AJ59" i="4"/>
  <c r="AJ92" i="4"/>
  <c r="AJ112" i="4"/>
  <c r="AJ103" i="4"/>
  <c r="AJ5" i="4"/>
  <c r="AJ36" i="4"/>
  <c r="AJ39" i="4"/>
  <c r="AJ65" i="4"/>
  <c r="AJ68" i="4"/>
  <c r="AJ71" i="4"/>
  <c r="AJ89" i="4"/>
  <c r="AJ93" i="4"/>
  <c r="AJ97" i="4"/>
  <c r="AJ101" i="4"/>
  <c r="AJ105" i="4"/>
  <c r="AJ109" i="4"/>
  <c r="AJ113" i="4"/>
  <c r="AJ117" i="4"/>
  <c r="AJ125" i="4"/>
  <c r="AJ129" i="4"/>
  <c r="AJ56" i="4"/>
  <c r="AJ76" i="4"/>
  <c r="AJ88" i="4"/>
  <c r="AJ108" i="4"/>
  <c r="AJ116" i="4"/>
  <c r="AJ124" i="4"/>
  <c r="AJ120" i="4"/>
  <c r="AJ132" i="4"/>
  <c r="AJ111" i="4"/>
  <c r="AJ41" i="4"/>
  <c r="AJ44" i="4"/>
  <c r="AJ47" i="4"/>
  <c r="AJ73" i="4"/>
  <c r="AJ79" i="4"/>
  <c r="AJ104" i="4"/>
  <c r="AJ99" i="4"/>
  <c r="AJ107" i="4"/>
  <c r="AJ123" i="4"/>
  <c r="AJ131" i="4"/>
  <c r="AJ61" i="4"/>
  <c r="AJ64" i="4"/>
  <c r="AJ67" i="4"/>
  <c r="AJ95" i="4"/>
  <c r="AJ115" i="4"/>
  <c r="AJ127" i="4"/>
  <c r="AJ49" i="4"/>
  <c r="AJ52" i="4"/>
  <c r="AJ55" i="4"/>
  <c r="AJ81" i="4"/>
  <c r="AJ84" i="4"/>
  <c r="AJ91" i="4"/>
  <c r="AJ6" i="4"/>
  <c r="AJ37" i="4"/>
  <c r="AJ40" i="4"/>
  <c r="AJ43" i="4"/>
  <c r="AJ69" i="4"/>
  <c r="AJ72" i="4"/>
  <c r="AJ75" i="4"/>
  <c r="AJ87" i="4"/>
  <c r="AJ100" i="4"/>
  <c r="AH4" i="4"/>
  <c r="AH136" i="4" l="1"/>
  <c r="AH135" i="4"/>
  <c r="AH65" i="4"/>
  <c r="AH73" i="4"/>
  <c r="AH81" i="4"/>
  <c r="AH6" i="4"/>
  <c r="AH37" i="4"/>
  <c r="AH41" i="4"/>
  <c r="AH45" i="4"/>
  <c r="AH49" i="4"/>
  <c r="AH53" i="4"/>
  <c r="AH57" i="4"/>
  <c r="AH61" i="4"/>
  <c r="AH69" i="4"/>
  <c r="AH77" i="4"/>
  <c r="AH85" i="4"/>
  <c r="AH5" i="4"/>
  <c r="AH36" i="4"/>
  <c r="AH39" i="4"/>
  <c r="AH42" i="4"/>
  <c r="AH68" i="4"/>
  <c r="AH71" i="4"/>
  <c r="AH74" i="4"/>
  <c r="AH89" i="4"/>
  <c r="AH93" i="4"/>
  <c r="AH97" i="4"/>
  <c r="AH101" i="4"/>
  <c r="AH105" i="4"/>
  <c r="AH109" i="4"/>
  <c r="AH113" i="4"/>
  <c r="AH117" i="4"/>
  <c r="AH121" i="4"/>
  <c r="AH125" i="4"/>
  <c r="AH129" i="4"/>
  <c r="AH133" i="4"/>
  <c r="AH70" i="4"/>
  <c r="AH103" i="4"/>
  <c r="AH110" i="4"/>
  <c r="AH130" i="4"/>
  <c r="AH56" i="4"/>
  <c r="AH59" i="4"/>
  <c r="AH62" i="4"/>
  <c r="AH108" i="4"/>
  <c r="AH112" i="4"/>
  <c r="AH116" i="4"/>
  <c r="AH124" i="4"/>
  <c r="AH67" i="4"/>
  <c r="AH84" i="4"/>
  <c r="AH119" i="4"/>
  <c r="AH44" i="4"/>
  <c r="AH47" i="4"/>
  <c r="AH50" i="4"/>
  <c r="AH76" i="4"/>
  <c r="AH79" i="4"/>
  <c r="AH82" i="4"/>
  <c r="AH88" i="4"/>
  <c r="AH92" i="4"/>
  <c r="AH96" i="4"/>
  <c r="AH100" i="4"/>
  <c r="AH104" i="4"/>
  <c r="AH120" i="4"/>
  <c r="AH128" i="4"/>
  <c r="AH132" i="4"/>
  <c r="AH38" i="4"/>
  <c r="AH64" i="4"/>
  <c r="AH95" i="4"/>
  <c r="AH131" i="4"/>
  <c r="AH98" i="4"/>
  <c r="AH99" i="4"/>
  <c r="AH111" i="4"/>
  <c r="AH102" i="4"/>
  <c r="AH52" i="4"/>
  <c r="AH55" i="4"/>
  <c r="AH58" i="4"/>
  <c r="AH91" i="4"/>
  <c r="AH127" i="4"/>
  <c r="AH114" i="4"/>
  <c r="AH40" i="4"/>
  <c r="AH43" i="4"/>
  <c r="AH46" i="4"/>
  <c r="AH72" i="4"/>
  <c r="AH75" i="4"/>
  <c r="AH78" i="4"/>
  <c r="AH87" i="4"/>
  <c r="AH106" i="4"/>
  <c r="AH60" i="4"/>
  <c r="AH63" i="4"/>
  <c r="AH66" i="4"/>
  <c r="AH90" i="4"/>
  <c r="AH94" i="4"/>
  <c r="AH122" i="4"/>
  <c r="AH48" i="4"/>
  <c r="AH51" i="4"/>
  <c r="AH54" i="4"/>
  <c r="AH80" i="4"/>
  <c r="AH83" i="4"/>
  <c r="AH86" i="4"/>
  <c r="AH107" i="4"/>
  <c r="AH115" i="4"/>
  <c r="AH123" i="4"/>
  <c r="AH118" i="4"/>
  <c r="AH126" i="4"/>
  <c r="AH134" i="4"/>
  <c r="AC190" i="4" l="1"/>
  <c r="AD190" i="4"/>
  <c r="AC191" i="4"/>
  <c r="AD191" i="4"/>
  <c r="AC192" i="4"/>
  <c r="AD192" i="4"/>
  <c r="AC193" i="4"/>
  <c r="AD193" i="4"/>
  <c r="AC194" i="4"/>
  <c r="AD194" i="4"/>
  <c r="AC195" i="4"/>
  <c r="AD195" i="4"/>
  <c r="AC196" i="4"/>
  <c r="AD196" i="4"/>
  <c r="AC197" i="4"/>
  <c r="AD197" i="4"/>
  <c r="AC198" i="4"/>
  <c r="AD198" i="4"/>
  <c r="AC199" i="4"/>
  <c r="AD199" i="4"/>
  <c r="AC200" i="4"/>
  <c r="AD200" i="4"/>
  <c r="AC201" i="4"/>
  <c r="AD201" i="4"/>
  <c r="AC202" i="4"/>
  <c r="AD202" i="4"/>
  <c r="AC203" i="4"/>
  <c r="AD203" i="4"/>
  <c r="AC204" i="4"/>
  <c r="AD204" i="4"/>
  <c r="AC205" i="4"/>
  <c r="AD205" i="4"/>
  <c r="AC206" i="4"/>
  <c r="AD206" i="4"/>
  <c r="AC207" i="4"/>
  <c r="AD207" i="4"/>
  <c r="AC208" i="4"/>
  <c r="AD208" i="4"/>
  <c r="AC209" i="4"/>
  <c r="AD209" i="4"/>
  <c r="AC210" i="4"/>
  <c r="AD210" i="4"/>
  <c r="AC211" i="4"/>
  <c r="AD211" i="4"/>
  <c r="AC212" i="4"/>
  <c r="AD212" i="4"/>
  <c r="AC213" i="4"/>
  <c r="AD213" i="4"/>
  <c r="AC214" i="4"/>
  <c r="AD214" i="4"/>
  <c r="AC215" i="4"/>
  <c r="AD215" i="4"/>
  <c r="AC216" i="4"/>
  <c r="AD216" i="4"/>
  <c r="AC217" i="4"/>
  <c r="AD217" i="4"/>
  <c r="AC218" i="4"/>
  <c r="AD218" i="4"/>
  <c r="AC219" i="4"/>
  <c r="AD219" i="4"/>
  <c r="AC220" i="4"/>
  <c r="AD220" i="4"/>
  <c r="AC221" i="4"/>
  <c r="AD221" i="4"/>
  <c r="AC222" i="4"/>
  <c r="AD222" i="4"/>
  <c r="AC223" i="4"/>
  <c r="AD223" i="4"/>
  <c r="AC224" i="4"/>
  <c r="AD224" i="4"/>
  <c r="AC225" i="4"/>
  <c r="AD225" i="4"/>
  <c r="AC226" i="4"/>
  <c r="AD226" i="4"/>
  <c r="AC227" i="4"/>
  <c r="AD227" i="4"/>
  <c r="AC228" i="4"/>
  <c r="AD228" i="4"/>
  <c r="AC229" i="4"/>
  <c r="AD229" i="4"/>
  <c r="AC230" i="4"/>
  <c r="AD230" i="4"/>
  <c r="AC231" i="4"/>
  <c r="AD231" i="4"/>
  <c r="AC232" i="4"/>
  <c r="AD232" i="4"/>
  <c r="AC233" i="4"/>
  <c r="AD233" i="4"/>
  <c r="AC234" i="4"/>
  <c r="AD234" i="4"/>
  <c r="AC235" i="4"/>
  <c r="AD235" i="4"/>
  <c r="AC236" i="4"/>
  <c r="AD236" i="4"/>
  <c r="AC237" i="4"/>
  <c r="AD237" i="4"/>
  <c r="AC238" i="4"/>
  <c r="AD238" i="4"/>
  <c r="AC239" i="4"/>
  <c r="AD239" i="4"/>
  <c r="AC240" i="4"/>
  <c r="AD240" i="4"/>
  <c r="AC241" i="4"/>
  <c r="AD241" i="4"/>
  <c r="AC242" i="4"/>
  <c r="AD242" i="4"/>
  <c r="AC243" i="4"/>
  <c r="AD243" i="4"/>
  <c r="AC244" i="4"/>
  <c r="AD244" i="4"/>
  <c r="AC245" i="4"/>
  <c r="AD245" i="4"/>
  <c r="AC246" i="4"/>
  <c r="AD246" i="4"/>
  <c r="AC247" i="4"/>
  <c r="AD247" i="4"/>
  <c r="AC248" i="4"/>
  <c r="AD248" i="4"/>
  <c r="AC249" i="4"/>
  <c r="AD249" i="4"/>
  <c r="AC250" i="4"/>
  <c r="AD250" i="4"/>
  <c r="AC251" i="4"/>
  <c r="AD251" i="4"/>
  <c r="AC252" i="4"/>
  <c r="AD252" i="4"/>
  <c r="AC253" i="4"/>
  <c r="AD253" i="4"/>
  <c r="AC254" i="4"/>
  <c r="AD254" i="4"/>
  <c r="AC255" i="4"/>
  <c r="AD255" i="4"/>
  <c r="AC256" i="4"/>
  <c r="AD256" i="4"/>
  <c r="AC257" i="4"/>
  <c r="AD257" i="4"/>
  <c r="AC258" i="4"/>
  <c r="AD258" i="4"/>
  <c r="AC259" i="4"/>
  <c r="AD259" i="4"/>
  <c r="AC260" i="4"/>
  <c r="AD260" i="4"/>
  <c r="AC261" i="4"/>
  <c r="AD261" i="4"/>
  <c r="AC262" i="4"/>
  <c r="AD262" i="4"/>
  <c r="AC263" i="4"/>
  <c r="AD263" i="4"/>
  <c r="AC264" i="4"/>
  <c r="AD264" i="4"/>
  <c r="AC265" i="4"/>
  <c r="AD265" i="4"/>
  <c r="AC266" i="4"/>
  <c r="AD266" i="4"/>
  <c r="AC267" i="4"/>
  <c r="AD267" i="4"/>
  <c r="AC268" i="4"/>
  <c r="AD268" i="4"/>
  <c r="AC269" i="4"/>
  <c r="AD269" i="4"/>
  <c r="AC270" i="4"/>
  <c r="AD270" i="4"/>
  <c r="AC271" i="4"/>
  <c r="AD271" i="4"/>
  <c r="AC272" i="4"/>
  <c r="AD272" i="4"/>
  <c r="AC273" i="4"/>
  <c r="AD273" i="4"/>
  <c r="AC274" i="4"/>
  <c r="AD274" i="4"/>
  <c r="AC275" i="4"/>
  <c r="AD275" i="4"/>
  <c r="AC276" i="4"/>
  <c r="AD276" i="4"/>
  <c r="AC277" i="4"/>
  <c r="AD277" i="4"/>
  <c r="AC278" i="4"/>
  <c r="AD278" i="4"/>
  <c r="AC279" i="4"/>
  <c r="AD279" i="4"/>
  <c r="AC280" i="4"/>
  <c r="AD280" i="4"/>
  <c r="AC281" i="4"/>
  <c r="AD281" i="4"/>
  <c r="AC282" i="4"/>
  <c r="AD282" i="4"/>
  <c r="AC283" i="4"/>
  <c r="AD283" i="4"/>
  <c r="AC284" i="4"/>
  <c r="AD284" i="4"/>
  <c r="AC285" i="4"/>
  <c r="AD285" i="4"/>
  <c r="AC286" i="4"/>
  <c r="AD286" i="4"/>
  <c r="AC287" i="4"/>
  <c r="AD287" i="4"/>
  <c r="AC288" i="4"/>
  <c r="AD288" i="4"/>
  <c r="AC289" i="4"/>
  <c r="AD289" i="4"/>
  <c r="AC290" i="4"/>
  <c r="AD290" i="4"/>
  <c r="AC291" i="4"/>
  <c r="AD291" i="4"/>
  <c r="AC292" i="4"/>
  <c r="AD292" i="4"/>
  <c r="AC293" i="4"/>
  <c r="AD293" i="4"/>
  <c r="AC294" i="4"/>
  <c r="AD294" i="4"/>
  <c r="AC295" i="4"/>
  <c r="AD295" i="4"/>
  <c r="AC296" i="4"/>
  <c r="AD296" i="4"/>
  <c r="AC297" i="4"/>
  <c r="AD297" i="4"/>
  <c r="AC29" i="4"/>
  <c r="AD29" i="4"/>
  <c r="AC30" i="4"/>
  <c r="AD30" i="4"/>
  <c r="AC31" i="4"/>
  <c r="AD31" i="4"/>
  <c r="AC32" i="4"/>
  <c r="AD32" i="4"/>
  <c r="AC33" i="4"/>
  <c r="AD33" i="4"/>
  <c r="AC34" i="4"/>
  <c r="AD34" i="4"/>
  <c r="AC35" i="4"/>
  <c r="AD35" i="4"/>
  <c r="AC36" i="4"/>
  <c r="AD36" i="4"/>
  <c r="AC37" i="4"/>
  <c r="AD37" i="4"/>
  <c r="AC38" i="4"/>
  <c r="AD38" i="4"/>
  <c r="AC39" i="4"/>
  <c r="AD39" i="4"/>
  <c r="AC40" i="4"/>
  <c r="AD40" i="4"/>
  <c r="AC41" i="4"/>
  <c r="AD41" i="4"/>
  <c r="AC42" i="4"/>
  <c r="AD42" i="4"/>
  <c r="AC43" i="4"/>
  <c r="AD43" i="4"/>
  <c r="AC46" i="4"/>
  <c r="AD46" i="4"/>
  <c r="AC47" i="4"/>
  <c r="AD47" i="4"/>
  <c r="AC48" i="4"/>
  <c r="AD48" i="4"/>
  <c r="AF60" i="4" l="1"/>
  <c r="AF68" i="4"/>
  <c r="AF76" i="4"/>
  <c r="AF84" i="4"/>
  <c r="AF88" i="4"/>
  <c r="AF5" i="4"/>
  <c r="AF36" i="4"/>
  <c r="AF40" i="4"/>
  <c r="AF44" i="4"/>
  <c r="AF48" i="4"/>
  <c r="AF52" i="4"/>
  <c r="AF56" i="4"/>
  <c r="AF64" i="4"/>
  <c r="AF72" i="4"/>
  <c r="AF80" i="4"/>
  <c r="AF47" i="4"/>
  <c r="AF50" i="4"/>
  <c r="AF53" i="4"/>
  <c r="AF79" i="4"/>
  <c r="AF82" i="4"/>
  <c r="AF85" i="4"/>
  <c r="AF92" i="4"/>
  <c r="AF96" i="4"/>
  <c r="AF100" i="4"/>
  <c r="AF104" i="4"/>
  <c r="AF108" i="4"/>
  <c r="AF112" i="4"/>
  <c r="AF116" i="4"/>
  <c r="AF120" i="4"/>
  <c r="AF124" i="4"/>
  <c r="AF128" i="4"/>
  <c r="AF132" i="4"/>
  <c r="AF43" i="4"/>
  <c r="AF49" i="4"/>
  <c r="AF78" i="4"/>
  <c r="AF69" i="4"/>
  <c r="AF90" i="4"/>
  <c r="AF110" i="4"/>
  <c r="AF118" i="4"/>
  <c r="AF122" i="4"/>
  <c r="AF97" i="4"/>
  <c r="AF38" i="4"/>
  <c r="AF41" i="4"/>
  <c r="AF67" i="4"/>
  <c r="AF70" i="4"/>
  <c r="AF73" i="4"/>
  <c r="AF115" i="4"/>
  <c r="AF119" i="4"/>
  <c r="AF127" i="4"/>
  <c r="AF131" i="4"/>
  <c r="AF46" i="4"/>
  <c r="AF75" i="4"/>
  <c r="AF66" i="4"/>
  <c r="AF98" i="4"/>
  <c r="AF106" i="4"/>
  <c r="AF126" i="4"/>
  <c r="AF134" i="4"/>
  <c r="AF117" i="4"/>
  <c r="AF129" i="4"/>
  <c r="AF55" i="4"/>
  <c r="AF58" i="4"/>
  <c r="AF61" i="4"/>
  <c r="AF91" i="4"/>
  <c r="AF95" i="4"/>
  <c r="AF99" i="4"/>
  <c r="AF103" i="4"/>
  <c r="AF107" i="4"/>
  <c r="AF111" i="4"/>
  <c r="AF123" i="4"/>
  <c r="AF81" i="4"/>
  <c r="AF87" i="4"/>
  <c r="AF102" i="4"/>
  <c r="AF113" i="4"/>
  <c r="AF125" i="4"/>
  <c r="AF121" i="4"/>
  <c r="AF133" i="4"/>
  <c r="AF6" i="4"/>
  <c r="AF37" i="4"/>
  <c r="AF63" i="4"/>
  <c r="AF114" i="4"/>
  <c r="AF51" i="4"/>
  <c r="AF54" i="4"/>
  <c r="AF57" i="4"/>
  <c r="AF83" i="4"/>
  <c r="AF86" i="4"/>
  <c r="AF39" i="4"/>
  <c r="AF42" i="4"/>
  <c r="AF45" i="4"/>
  <c r="AF71" i="4"/>
  <c r="AF74" i="4"/>
  <c r="AF77" i="4"/>
  <c r="AF89" i="4"/>
  <c r="AF93" i="4"/>
  <c r="AF101" i="4"/>
  <c r="AF109" i="4"/>
  <c r="AF59" i="4"/>
  <c r="AF62" i="4"/>
  <c r="AF65" i="4"/>
  <c r="AF94" i="4"/>
  <c r="AF130" i="4"/>
  <c r="AF105" i="4"/>
  <c r="AC18" i="4"/>
  <c r="AD18" i="4"/>
  <c r="AC19" i="4"/>
  <c r="AD19" i="4"/>
  <c r="AC20" i="4"/>
  <c r="AD20" i="4"/>
  <c r="AC21" i="4"/>
  <c r="AD21" i="4"/>
  <c r="AC22" i="4"/>
  <c r="AD22" i="4"/>
  <c r="AC23" i="4"/>
  <c r="AD23" i="4"/>
  <c r="AC24" i="4"/>
  <c r="AD24" i="4"/>
  <c r="AC25" i="4"/>
  <c r="AD25" i="4"/>
  <c r="AC26" i="4"/>
  <c r="AD26" i="4"/>
  <c r="AC27" i="4"/>
  <c r="AD27" i="4"/>
  <c r="AC28" i="4"/>
  <c r="AD28" i="4"/>
  <c r="AC5" i="4"/>
  <c r="AD5" i="4"/>
  <c r="AC6" i="4"/>
  <c r="AD6" i="4"/>
  <c r="AA2" i="4"/>
  <c r="R4" i="1" s="1"/>
  <c r="I2" i="4"/>
  <c r="F4" i="1" s="1"/>
  <c r="J2" i="4"/>
  <c r="F6" i="1" s="1"/>
  <c r="F8" i="1" s="1"/>
  <c r="K2" i="4"/>
  <c r="H4" i="1" s="1"/>
  <c r="L2" i="4"/>
  <c r="H6" i="1" s="1"/>
  <c r="H8" i="1" s="1"/>
  <c r="M2" i="4"/>
  <c r="I4" i="1" s="1"/>
  <c r="N2" i="4"/>
  <c r="I6" i="1" s="1"/>
  <c r="O2" i="4"/>
  <c r="J4" i="1" s="1"/>
  <c r="P2" i="4"/>
  <c r="J6" i="1" s="1"/>
  <c r="J8" i="1" s="1"/>
  <c r="Q2" i="4"/>
  <c r="L4" i="1" s="1"/>
  <c r="R2" i="4"/>
  <c r="L6" i="1" s="1"/>
  <c r="L8" i="1" s="1"/>
  <c r="S2" i="4"/>
  <c r="M4" i="1" s="1"/>
  <c r="T2" i="4"/>
  <c r="M6" i="1" s="1"/>
  <c r="M8" i="1" s="1"/>
  <c r="U2" i="4"/>
  <c r="N4" i="1" s="1"/>
  <c r="V2" i="4"/>
  <c r="N6" i="1" s="1"/>
  <c r="W2" i="4"/>
  <c r="P4" i="1" s="1"/>
  <c r="X2" i="4"/>
  <c r="P6" i="1" s="1"/>
  <c r="Y2" i="4"/>
  <c r="Q4" i="1" s="1"/>
  <c r="Z2" i="4"/>
  <c r="Q6" i="1" s="1"/>
  <c r="Q8" i="1" s="1"/>
  <c r="AB2" i="4"/>
  <c r="R6" i="1" s="1"/>
  <c r="R8" i="1" s="1"/>
  <c r="G2" i="4"/>
  <c r="E4" i="1" s="1"/>
  <c r="H2" i="4"/>
  <c r="E6" i="1" s="1"/>
  <c r="E8" i="1" s="1"/>
  <c r="F2" i="4"/>
  <c r="D6" i="1" s="1"/>
  <c r="C8" i="1"/>
  <c r="E2" i="4"/>
  <c r="D4" i="1" s="1"/>
  <c r="AC2" i="4" l="1"/>
  <c r="AD2" i="4"/>
  <c r="S4" i="1"/>
  <c r="O4" i="1"/>
  <c r="G4" i="1"/>
  <c r="I8" i="1"/>
  <c r="K8" i="1" s="1"/>
  <c r="K6" i="1"/>
  <c r="K4" i="1"/>
  <c r="N8" i="1"/>
  <c r="O8" i="1" s="1"/>
  <c r="O6" i="1"/>
  <c r="G6" i="1"/>
  <c r="D8" i="1"/>
  <c r="G8" i="1" s="1"/>
  <c r="S6" i="1"/>
  <c r="P8" i="1"/>
  <c r="S8" i="1" s="1"/>
  <c r="T4" i="1" l="1"/>
  <c r="T8" i="1"/>
  <c r="T6" i="1"/>
</calcChain>
</file>

<file path=xl/sharedStrings.xml><?xml version="1.0" encoding="utf-8"?>
<sst xmlns="http://schemas.openxmlformats.org/spreadsheetml/2006/main" count="153" uniqueCount="68">
  <si>
    <t>Sales</t>
  </si>
  <si>
    <t>Royalty</t>
  </si>
  <si>
    <t>MINIMUM</t>
  </si>
  <si>
    <t>ACTUAL</t>
  </si>
  <si>
    <t>FORECAST</t>
  </si>
  <si>
    <t>EXPECTED total</t>
  </si>
  <si>
    <t>Customer</t>
  </si>
  <si>
    <t>Product group</t>
  </si>
  <si>
    <t>YTD_Units</t>
  </si>
  <si>
    <t>YTD_Sales</t>
  </si>
  <si>
    <t>units</t>
  </si>
  <si>
    <t>amounts</t>
  </si>
  <si>
    <t>1st quarter</t>
  </si>
  <si>
    <t>2nd quarter</t>
  </si>
  <si>
    <t>3th quarter</t>
  </si>
  <si>
    <t>4th quarter</t>
  </si>
  <si>
    <t>City / Province</t>
  </si>
  <si>
    <t>Store Type</t>
  </si>
  <si>
    <t>Best Sox</t>
  </si>
  <si>
    <t>dozens</t>
  </si>
  <si>
    <t>#</t>
  </si>
  <si>
    <t>ARS</t>
  </si>
  <si>
    <t>Cap Fed</t>
  </si>
  <si>
    <t>FY 2025</t>
  </si>
  <si>
    <t>LIEBE S R L</t>
  </si>
  <si>
    <t>FRANQUICIE BAHIA BLANCA</t>
  </si>
  <si>
    <t>GONZALEZ MARIA ESTER</t>
  </si>
  <si>
    <t>LEVIMAR SRL</t>
  </si>
  <si>
    <t>Levi's Store (franchise)</t>
  </si>
  <si>
    <t>Bodywear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</si>
  <si>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</si>
  <si>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</si>
  <si>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</si>
  <si>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</si>
  <si>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</si>
  <si>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</si>
  <si>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</si>
  <si>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</si>
  <si>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</si>
  <si>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</si>
  <si>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</si>
  <si>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</si>
  <si>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FY 2026</t>
  </si>
  <si>
    <t>DELGADO JULIA MARCELA</t>
  </si>
  <si>
    <t xml:space="preserve">Multibrand </t>
  </si>
  <si>
    <t>LEURU S.A</t>
  </si>
  <si>
    <t>Levi's Store</t>
  </si>
  <si>
    <t>MULTIBRAND JEANS SRL</t>
  </si>
  <si>
    <t>ML FULL</t>
  </si>
  <si>
    <t>MC PIE SRL</t>
  </si>
  <si>
    <t>BELLETTINI JOSE GUSTAVO</t>
  </si>
  <si>
    <t>UGARTE Y CIA. S.R.L.</t>
  </si>
  <si>
    <t>GBA</t>
  </si>
  <si>
    <t>Córdoba</t>
  </si>
  <si>
    <t>WAIMEA  PINAMAR</t>
  </si>
  <si>
    <t>DINOSAURIO</t>
  </si>
  <si>
    <t>GONZALES MARIA  ESTER</t>
  </si>
  <si>
    <t>MONTEMURRO&amp;HERNANDEZ S H</t>
  </si>
  <si>
    <t>JAF S R L</t>
  </si>
  <si>
    <t>SANTIAGO CAMPIS</t>
  </si>
  <si>
    <t>AGALMA</t>
  </si>
  <si>
    <t>RADA TILLY</t>
  </si>
  <si>
    <t>MARATHON SRL</t>
  </si>
  <si>
    <t>ALONSO JUAN JOSE</t>
  </si>
  <si>
    <t>BRAVA MARKET ARGENTINA</t>
  </si>
  <si>
    <t>PARENTI KARINA VERONICA</t>
  </si>
  <si>
    <t>Sur</t>
  </si>
  <si>
    <t>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</si>
</sst>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&quot;€&quot;\ * #,##0.00_-;_-&quot;€&quot;\ * #,##0.00\-;_-&quot;€&quot;\ * &quot;-&quot;??_-;_-@_-"/>
    <numFmt numFmtId="166" formatCode="_-* #,##0.00_-;_-* #,##0.00\-;_-* &quot;-&quot;??_-;_-@_-"/>
    <numFmt numFmtId="167" formatCode="_-&quot;€&quot;\ * #,##0_-;_-&quot;€&quot;\ * #,##0\-;_-&quot;€&quot;\ * &quot;-&quot;??_-;_-@_-"/>
    <numFmt numFmtId="168" formatCode="_-* #,##0_-;_-* #,##0\-;_-* &quot;-&quot;??_-;_-@_-"/>
    <numFmt numFmtId="169" formatCode="0.0%"/>
    <numFmt numFmtId="170" formatCode="#,##0.00\ [$€-813];\-#,##0.00\ [$€-813]"/>
    <numFmt numFmtId="171" formatCode="#,##0;[Red]\(#,##0\)"/>
    <numFmt numFmtId="172" formatCode="_-&quot;fl&quot;\ * #,##0.00_-;_-&quot;fl&quot;\ * #,##0.00\-;_-&quot;fl&quot;\ * &quot;-&quot;??_-;_-@_-"/>
    <numFmt numFmtId="173" formatCode="_-* #,##0.00\ &quot;€&quot;_-;\-* #,##0.00\ &quot;€&quot;_-;_-* &quot;-&quot;??\ &quot;€&quot;_-;_-@_-"/>
    <numFmt numFmtId="174" formatCode="_-[$€]* #,##0.00_-;\-[$€]* #,##0.00_-;_-[$€]* &quot;-&quot;??_-;_-@_-"/>
    <numFmt numFmtId="175" formatCode="#,##0.0;[Red]\(#,##0.0\)"/>
    <numFmt numFmtId="176" formatCode="_-* #,##0\ _F_-;\-* #,##0\ _F_-;_-* &quot;-&quot;\ _F_-;_-@_-"/>
    <numFmt numFmtId="177" formatCode="#,##0_ ;[Red]\-#,##0\ "/>
    <numFmt numFmtId="178" formatCode="_-* #,##0\ &quot;F&quot;_-;\-* #,##0\ &quot;F&quot;_-;_-* &quot;-&quot;\ &quot;F&quot;_-;_-@_-"/>
    <numFmt numFmtId="179" formatCode="[$-413]mmmm/yy;@"/>
    <numFmt numFmtId="180" formatCode="&quot;$&quot;#,##0.00"/>
    <numFmt numFmtId="181" formatCode="&quot;$&quot;\ #,##0.00"/>
    <numFmt numFmtId="182" formatCode="0.0000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  <charset val="129"/>
      <scheme val="minor"/>
    </font>
    <font>
      <sz val="11"/>
      <color theme="0"/>
      <name val="ＭＳ Ｐゴシック"/>
      <family val="3"/>
      <charset val="128"/>
    </font>
    <font>
      <sz val="11"/>
      <color theme="0"/>
      <name val="Calibri"/>
      <family val="3"/>
      <charset val="129"/>
      <scheme val="minor"/>
    </font>
    <font>
      <sz val="6"/>
      <name val="Arial"/>
      <family val="2"/>
    </font>
    <font>
      <sz val="11"/>
      <color rgb="FF9C0006"/>
      <name val="ＭＳ Ｐゴシック"/>
      <family val="3"/>
      <charset val="128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ＭＳ Ｐゴシック"/>
      <family val="3"/>
      <charset val="128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ＭＳ Ｐゴシック"/>
      <family val="3"/>
      <charset val="128"/>
    </font>
    <font>
      <b/>
      <sz val="11"/>
      <color theme="0"/>
      <name val="Calibri"/>
      <family val="3"/>
      <charset val="129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Univers 55"/>
      <family val="2"/>
    </font>
    <font>
      <sz val="10"/>
      <name val="Univers 55"/>
    </font>
    <font>
      <sz val="10"/>
      <name val="Tahoma"/>
      <family val="2"/>
    </font>
    <font>
      <i/>
      <sz val="11"/>
      <color rgb="FF7F7F7F"/>
      <name val="ＭＳ Ｐゴシック"/>
      <family val="3"/>
      <charset val="128"/>
    </font>
    <font>
      <i/>
      <sz val="11"/>
      <color rgb="FF7F7F7F"/>
      <name val="Calibri"/>
      <family val="3"/>
      <charset val="129"/>
      <scheme val="minor"/>
    </font>
    <font>
      <b/>
      <sz val="9"/>
      <name val="Arial"/>
      <family val="2"/>
    </font>
    <font>
      <sz val="11"/>
      <color rgb="FF006100"/>
      <name val="ＭＳ Ｐゴシック"/>
      <family val="3"/>
      <charset val="128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ＭＳ Ｐゴシック"/>
      <family val="3"/>
      <charset val="128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ＭＳ Ｐゴシック"/>
      <family val="3"/>
      <charset val="128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ＭＳ Ｐゴシック"/>
      <family val="3"/>
      <charset val="128"/>
    </font>
    <font>
      <b/>
      <sz val="11"/>
      <color theme="3"/>
      <name val="Calibri"/>
      <family val="3"/>
      <charset val="129"/>
      <scheme val="minor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1"/>
      <color rgb="FF3F3F76"/>
      <name val="ＭＳ Ｐゴシック"/>
      <family val="3"/>
      <charset val="128"/>
    </font>
    <font>
      <sz val="11"/>
      <color rgb="FF3F3F76"/>
      <name val="Calibri"/>
      <family val="3"/>
      <charset val="129"/>
      <scheme val="minor"/>
    </font>
    <font>
      <sz val="11"/>
      <color rgb="FFFA7D00"/>
      <name val="ＭＳ Ｐゴシック"/>
      <family val="3"/>
      <charset val="128"/>
    </font>
    <font>
      <sz val="11"/>
      <color rgb="FFFA7D00"/>
      <name val="Calibri"/>
      <family val="3"/>
      <charset val="129"/>
      <scheme val="minor"/>
    </font>
    <font>
      <sz val="7"/>
      <name val="Arial"/>
      <family val="2"/>
    </font>
    <font>
      <sz val="11"/>
      <color rgb="FF9C6500"/>
      <name val="ＭＳ Ｐゴシック"/>
      <family val="3"/>
      <charset val="128"/>
    </font>
    <font>
      <sz val="11"/>
      <color rgb="FF9C6500"/>
      <name val="Calibri"/>
      <family val="3"/>
      <charset val="129"/>
      <scheme val="minor"/>
    </font>
    <font>
      <sz val="12"/>
      <name val="Verdana"/>
      <family val="2"/>
    </font>
    <font>
      <sz val="11"/>
      <color indexed="8"/>
      <name val="宋体"/>
      <charset val="134"/>
    </font>
    <font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1"/>
      <color rgb="FF3F3F3F"/>
      <name val="Calibri"/>
      <family val="3"/>
      <charset val="129"/>
      <scheme val="minor"/>
    </font>
    <font>
      <b/>
      <u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8"/>
      <color theme="3"/>
      <name val="Cambria"/>
      <family val="1"/>
      <scheme val="major"/>
    </font>
    <font>
      <b/>
      <sz val="18"/>
      <color theme="3"/>
      <name val="ＭＳ Ｐゴシック"/>
      <family val="3"/>
      <charset val="128"/>
    </font>
    <font>
      <b/>
      <sz val="18"/>
      <color theme="3"/>
      <name val="Cambria"/>
      <family val="3"/>
      <charset val="129"/>
      <scheme val="major"/>
    </font>
    <font>
      <b/>
      <sz val="11"/>
      <color theme="1"/>
      <name val="ＭＳ Ｐゴシック"/>
      <family val="3"/>
      <charset val="128"/>
    </font>
    <font>
      <b/>
      <sz val="11"/>
      <color theme="1"/>
      <name val="Calibri"/>
      <family val="3"/>
      <charset val="129"/>
      <scheme val="minor"/>
    </font>
    <font>
      <sz val="11"/>
      <color rgb="FFFF0000"/>
      <name val="ＭＳ Ｐゴシック"/>
      <family val="3"/>
      <charset val="128"/>
    </font>
    <font>
      <sz val="11"/>
      <color rgb="FFFF0000"/>
      <name val="Calibri"/>
      <family val="3"/>
      <charset val="129"/>
      <scheme val="minor"/>
    </font>
    <font>
      <sz val="9"/>
      <name val="宋体"/>
      <charset val="134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12"/>
      <name val="Verdana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92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10" borderId="0" applyNumberFormat="0" applyBorder="0" applyAlignment="0" applyProtection="0"/>
    <xf numFmtId="170" fontId="1" fillId="10" borderId="0" applyNumberFormat="0" applyBorder="0" applyAlignment="0" applyProtection="0"/>
    <xf numFmtId="170" fontId="21" fillId="34" borderId="0" applyNumberFormat="0" applyBorder="0" applyAlignment="0" applyProtection="0"/>
    <xf numFmtId="170" fontId="22" fillId="10" borderId="0" applyNumberFormat="0" applyBorder="0" applyAlignment="0" applyProtection="0"/>
    <xf numFmtId="0" fontId="21" fillId="34" borderId="0" applyNumberFormat="0" applyBorder="0" applyAlignment="0" applyProtection="0"/>
    <xf numFmtId="0" fontId="22" fillId="10" borderId="0" applyNumberFormat="0" applyBorder="0" applyAlignment="0" applyProtection="0"/>
    <xf numFmtId="170" fontId="1" fillId="10" borderId="0" applyNumberFormat="0" applyBorder="0" applyAlignment="0" applyProtection="0"/>
    <xf numFmtId="170" fontId="21" fillId="34" borderId="0" applyNumberFormat="0" applyBorder="0" applyAlignment="0" applyProtection="0"/>
    <xf numFmtId="170" fontId="22" fillId="10" borderId="0" applyNumberFormat="0" applyBorder="0" applyAlignment="0" applyProtection="0"/>
    <xf numFmtId="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21" fillId="35" borderId="0" applyNumberFormat="0" applyBorder="0" applyAlignment="0" applyProtection="0"/>
    <xf numFmtId="170" fontId="22" fillId="14" borderId="0" applyNumberFormat="0" applyBorder="0" applyAlignment="0" applyProtection="0"/>
    <xf numFmtId="0" fontId="21" fillId="35" borderId="0" applyNumberFormat="0" applyBorder="0" applyAlignment="0" applyProtection="0"/>
    <xf numFmtId="0" fontId="22" fillId="14" borderId="0" applyNumberFormat="0" applyBorder="0" applyAlignment="0" applyProtection="0"/>
    <xf numFmtId="170" fontId="1" fillId="14" borderId="0" applyNumberFormat="0" applyBorder="0" applyAlignment="0" applyProtection="0"/>
    <xf numFmtId="170" fontId="21" fillId="35" borderId="0" applyNumberFormat="0" applyBorder="0" applyAlignment="0" applyProtection="0"/>
    <xf numFmtId="170" fontId="22" fillId="14" borderId="0" applyNumberFormat="0" applyBorder="0" applyAlignment="0" applyProtection="0"/>
    <xf numFmtId="0" fontId="1" fillId="18" borderId="0" applyNumberFormat="0" applyBorder="0" applyAlignment="0" applyProtection="0"/>
    <xf numFmtId="170" fontId="1" fillId="18" borderId="0" applyNumberFormat="0" applyBorder="0" applyAlignment="0" applyProtection="0"/>
    <xf numFmtId="170" fontId="21" fillId="36" borderId="0" applyNumberFormat="0" applyBorder="0" applyAlignment="0" applyProtection="0"/>
    <xf numFmtId="170" fontId="22" fillId="18" borderId="0" applyNumberFormat="0" applyBorder="0" applyAlignment="0" applyProtection="0"/>
    <xf numFmtId="0" fontId="21" fillId="36" borderId="0" applyNumberFormat="0" applyBorder="0" applyAlignment="0" applyProtection="0"/>
    <xf numFmtId="0" fontId="22" fillId="18" borderId="0" applyNumberFormat="0" applyBorder="0" applyAlignment="0" applyProtection="0"/>
    <xf numFmtId="170" fontId="1" fillId="18" borderId="0" applyNumberFormat="0" applyBorder="0" applyAlignment="0" applyProtection="0"/>
    <xf numFmtId="170" fontId="21" fillId="36" borderId="0" applyNumberFormat="0" applyBorder="0" applyAlignment="0" applyProtection="0"/>
    <xf numFmtId="170" fontId="22" fillId="18" borderId="0" applyNumberFormat="0" applyBorder="0" applyAlignment="0" applyProtection="0"/>
    <xf numFmtId="0" fontId="1" fillId="22" borderId="0" applyNumberFormat="0" applyBorder="0" applyAlignment="0" applyProtection="0"/>
    <xf numFmtId="170" fontId="1" fillId="22" borderId="0" applyNumberFormat="0" applyBorder="0" applyAlignment="0" applyProtection="0"/>
    <xf numFmtId="170" fontId="21" fillId="37" borderId="0" applyNumberFormat="0" applyBorder="0" applyAlignment="0" applyProtection="0"/>
    <xf numFmtId="170" fontId="22" fillId="22" borderId="0" applyNumberFormat="0" applyBorder="0" applyAlignment="0" applyProtection="0"/>
    <xf numFmtId="0" fontId="21" fillId="37" borderId="0" applyNumberFormat="0" applyBorder="0" applyAlignment="0" applyProtection="0"/>
    <xf numFmtId="0" fontId="22" fillId="22" borderId="0" applyNumberFormat="0" applyBorder="0" applyAlignment="0" applyProtection="0"/>
    <xf numFmtId="170" fontId="1" fillId="22" borderId="0" applyNumberFormat="0" applyBorder="0" applyAlignment="0" applyProtection="0"/>
    <xf numFmtId="170" fontId="21" fillId="37" borderId="0" applyNumberFormat="0" applyBorder="0" applyAlignment="0" applyProtection="0"/>
    <xf numFmtId="170" fontId="22" fillId="22" borderId="0" applyNumberFormat="0" applyBorder="0" applyAlignment="0" applyProtection="0"/>
    <xf numFmtId="0" fontId="1" fillId="26" borderId="0" applyNumberFormat="0" applyBorder="0" applyAlignment="0" applyProtection="0"/>
    <xf numFmtId="170" fontId="1" fillId="26" borderId="0" applyNumberFormat="0" applyBorder="0" applyAlignment="0" applyProtection="0"/>
    <xf numFmtId="170" fontId="21" fillId="26" borderId="0" applyNumberFormat="0" applyBorder="0" applyAlignment="0" applyProtection="0"/>
    <xf numFmtId="170" fontId="22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26" borderId="0" applyNumberFormat="0" applyBorder="0" applyAlignment="0" applyProtection="0"/>
    <xf numFmtId="170" fontId="1" fillId="26" borderId="0" applyNumberFormat="0" applyBorder="0" applyAlignment="0" applyProtection="0"/>
    <xf numFmtId="170" fontId="21" fillId="26" borderId="0" applyNumberFormat="0" applyBorder="0" applyAlignment="0" applyProtection="0"/>
    <xf numFmtId="170" fontId="22" fillId="26" borderId="0" applyNumberFormat="0" applyBorder="0" applyAlignment="0" applyProtection="0"/>
    <xf numFmtId="0" fontId="1" fillId="30" borderId="0" applyNumberFormat="0" applyBorder="0" applyAlignment="0" applyProtection="0"/>
    <xf numFmtId="170" fontId="1" fillId="30" borderId="0" applyNumberFormat="0" applyBorder="0" applyAlignment="0" applyProtection="0"/>
    <xf numFmtId="170" fontId="21" fillId="30" borderId="0" applyNumberFormat="0" applyBorder="0" applyAlignment="0" applyProtection="0"/>
    <xf numFmtId="170" fontId="22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30" borderId="0" applyNumberFormat="0" applyBorder="0" applyAlignment="0" applyProtection="0"/>
    <xf numFmtId="170" fontId="1" fillId="30" borderId="0" applyNumberFormat="0" applyBorder="0" applyAlignment="0" applyProtection="0"/>
    <xf numFmtId="170" fontId="21" fillId="30" borderId="0" applyNumberFormat="0" applyBorder="0" applyAlignment="0" applyProtection="0"/>
    <xf numFmtId="170" fontId="22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170" fontId="1" fillId="11" borderId="0" applyNumberFormat="0" applyBorder="0" applyAlignment="0" applyProtection="0"/>
    <xf numFmtId="170" fontId="21" fillId="11" borderId="0" applyNumberFormat="0" applyBorder="0" applyAlignment="0" applyProtection="0"/>
    <xf numFmtId="17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170" fontId="1" fillId="11" borderId="0" applyNumberFormat="0" applyBorder="0" applyAlignment="0" applyProtection="0"/>
    <xf numFmtId="170" fontId="21" fillId="11" borderId="0" applyNumberFormat="0" applyBorder="0" applyAlignment="0" applyProtection="0"/>
    <xf numFmtId="170" fontId="22" fillId="11" borderId="0" applyNumberFormat="0" applyBorder="0" applyAlignment="0" applyProtection="0"/>
    <xf numFmtId="0" fontId="1" fillId="15" borderId="0" applyNumberFormat="0" applyBorder="0" applyAlignment="0" applyProtection="0"/>
    <xf numFmtId="170" fontId="1" fillId="15" borderId="0" applyNumberFormat="0" applyBorder="0" applyAlignment="0" applyProtection="0"/>
    <xf numFmtId="170" fontId="21" fillId="15" borderId="0" applyNumberFormat="0" applyBorder="0" applyAlignment="0" applyProtection="0"/>
    <xf numFmtId="170" fontId="22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15" borderId="0" applyNumberFormat="0" applyBorder="0" applyAlignment="0" applyProtection="0"/>
    <xf numFmtId="170" fontId="1" fillId="15" borderId="0" applyNumberFormat="0" applyBorder="0" applyAlignment="0" applyProtection="0"/>
    <xf numFmtId="170" fontId="21" fillId="15" borderId="0" applyNumberFormat="0" applyBorder="0" applyAlignment="0" applyProtection="0"/>
    <xf numFmtId="170" fontId="22" fillId="15" borderId="0" applyNumberFormat="0" applyBorder="0" applyAlignment="0" applyProtection="0"/>
    <xf numFmtId="0" fontId="1" fillId="19" borderId="0" applyNumberFormat="0" applyBorder="0" applyAlignment="0" applyProtection="0"/>
    <xf numFmtId="170" fontId="1" fillId="19" borderId="0" applyNumberFormat="0" applyBorder="0" applyAlignment="0" applyProtection="0"/>
    <xf numFmtId="170" fontId="21" fillId="38" borderId="0" applyNumberFormat="0" applyBorder="0" applyAlignment="0" applyProtection="0"/>
    <xf numFmtId="170" fontId="22" fillId="19" borderId="0" applyNumberFormat="0" applyBorder="0" applyAlignment="0" applyProtection="0"/>
    <xf numFmtId="0" fontId="21" fillId="38" borderId="0" applyNumberFormat="0" applyBorder="0" applyAlignment="0" applyProtection="0"/>
    <xf numFmtId="0" fontId="22" fillId="19" borderId="0" applyNumberFormat="0" applyBorder="0" applyAlignment="0" applyProtection="0"/>
    <xf numFmtId="170" fontId="1" fillId="19" borderId="0" applyNumberFormat="0" applyBorder="0" applyAlignment="0" applyProtection="0"/>
    <xf numFmtId="170" fontId="21" fillId="38" borderId="0" applyNumberFormat="0" applyBorder="0" applyAlignment="0" applyProtection="0"/>
    <xf numFmtId="170" fontId="22" fillId="19" borderId="0" applyNumberFormat="0" applyBorder="0" applyAlignment="0" applyProtection="0"/>
    <xf numFmtId="0" fontId="1" fillId="23" borderId="0" applyNumberFormat="0" applyBorder="0" applyAlignment="0" applyProtection="0"/>
    <xf numFmtId="170" fontId="1" fillId="23" borderId="0" applyNumberFormat="0" applyBorder="0" applyAlignment="0" applyProtection="0"/>
    <xf numFmtId="170" fontId="21" fillId="23" borderId="0" applyNumberFormat="0" applyBorder="0" applyAlignment="0" applyProtection="0"/>
    <xf numFmtId="170" fontId="22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23" borderId="0" applyNumberFormat="0" applyBorder="0" applyAlignment="0" applyProtection="0"/>
    <xf numFmtId="170" fontId="1" fillId="23" borderId="0" applyNumberFormat="0" applyBorder="0" applyAlignment="0" applyProtection="0"/>
    <xf numFmtId="170" fontId="21" fillId="23" borderId="0" applyNumberFormat="0" applyBorder="0" applyAlignment="0" applyProtection="0"/>
    <xf numFmtId="170" fontId="22" fillId="23" borderId="0" applyNumberFormat="0" applyBorder="0" applyAlignment="0" applyProtection="0"/>
    <xf numFmtId="0" fontId="1" fillId="27" borderId="0" applyNumberFormat="0" applyBorder="0" applyAlignment="0" applyProtection="0"/>
    <xf numFmtId="170" fontId="1" fillId="27" borderId="0" applyNumberFormat="0" applyBorder="0" applyAlignment="0" applyProtection="0"/>
    <xf numFmtId="170" fontId="21" fillId="27" borderId="0" applyNumberFormat="0" applyBorder="0" applyAlignment="0" applyProtection="0"/>
    <xf numFmtId="170" fontId="22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170" fontId="1" fillId="27" borderId="0" applyNumberFormat="0" applyBorder="0" applyAlignment="0" applyProtection="0"/>
    <xf numFmtId="170" fontId="21" fillId="27" borderId="0" applyNumberFormat="0" applyBorder="0" applyAlignment="0" applyProtection="0"/>
    <xf numFmtId="170" fontId="22" fillId="27" borderId="0" applyNumberFormat="0" applyBorder="0" applyAlignment="0" applyProtection="0"/>
    <xf numFmtId="0" fontId="1" fillId="31" borderId="0" applyNumberFormat="0" applyBorder="0" applyAlignment="0" applyProtection="0"/>
    <xf numFmtId="170" fontId="1" fillId="31" borderId="0" applyNumberFormat="0" applyBorder="0" applyAlignment="0" applyProtection="0"/>
    <xf numFmtId="170" fontId="21" fillId="31" borderId="0" applyNumberFormat="0" applyBorder="0" applyAlignment="0" applyProtection="0"/>
    <xf numFmtId="170" fontId="22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31" borderId="0" applyNumberFormat="0" applyBorder="0" applyAlignment="0" applyProtection="0"/>
    <xf numFmtId="170" fontId="1" fillId="31" borderId="0" applyNumberFormat="0" applyBorder="0" applyAlignment="0" applyProtection="0"/>
    <xf numFmtId="170" fontId="21" fillId="31" borderId="0" applyNumberFormat="0" applyBorder="0" applyAlignment="0" applyProtection="0"/>
    <xf numFmtId="170" fontId="22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70" fontId="17" fillId="12" borderId="0" applyNumberFormat="0" applyBorder="0" applyAlignment="0" applyProtection="0"/>
    <xf numFmtId="170" fontId="23" fillId="12" borderId="0" applyNumberFormat="0" applyBorder="0" applyAlignment="0" applyProtection="0"/>
    <xf numFmtId="170" fontId="24" fillId="12" borderId="0" applyNumberFormat="0" applyBorder="0" applyAlignment="0" applyProtection="0"/>
    <xf numFmtId="170" fontId="17" fillId="12" borderId="0" applyNumberFormat="0" applyBorder="0" applyAlignment="0" applyProtection="0"/>
    <xf numFmtId="170" fontId="23" fillId="12" borderId="0" applyNumberFormat="0" applyBorder="0" applyAlignment="0" applyProtection="0"/>
    <xf numFmtId="170" fontId="24" fillId="12" borderId="0" applyNumberFormat="0" applyBorder="0" applyAlignment="0" applyProtection="0"/>
    <xf numFmtId="170" fontId="17" fillId="16" borderId="0" applyNumberFormat="0" applyBorder="0" applyAlignment="0" applyProtection="0"/>
    <xf numFmtId="170" fontId="23" fillId="16" borderId="0" applyNumberFormat="0" applyBorder="0" applyAlignment="0" applyProtection="0"/>
    <xf numFmtId="170" fontId="24" fillId="16" borderId="0" applyNumberFormat="0" applyBorder="0" applyAlignment="0" applyProtection="0"/>
    <xf numFmtId="170" fontId="17" fillId="16" borderId="0" applyNumberFormat="0" applyBorder="0" applyAlignment="0" applyProtection="0"/>
    <xf numFmtId="170" fontId="23" fillId="16" borderId="0" applyNumberFormat="0" applyBorder="0" applyAlignment="0" applyProtection="0"/>
    <xf numFmtId="170" fontId="24" fillId="16" borderId="0" applyNumberFormat="0" applyBorder="0" applyAlignment="0" applyProtection="0"/>
    <xf numFmtId="170" fontId="17" fillId="20" borderId="0" applyNumberFormat="0" applyBorder="0" applyAlignment="0" applyProtection="0"/>
    <xf numFmtId="170" fontId="23" fillId="38" borderId="0" applyNumberFormat="0" applyBorder="0" applyAlignment="0" applyProtection="0"/>
    <xf numFmtId="170" fontId="24" fillId="20" borderId="0" applyNumberFormat="0" applyBorder="0" applyAlignment="0" applyProtection="0"/>
    <xf numFmtId="170" fontId="17" fillId="20" borderId="0" applyNumberFormat="0" applyBorder="0" applyAlignment="0" applyProtection="0"/>
    <xf numFmtId="170" fontId="23" fillId="38" borderId="0" applyNumberFormat="0" applyBorder="0" applyAlignment="0" applyProtection="0"/>
    <xf numFmtId="170" fontId="24" fillId="20" borderId="0" applyNumberFormat="0" applyBorder="0" applyAlignment="0" applyProtection="0"/>
    <xf numFmtId="170" fontId="17" fillId="24" borderId="0" applyNumberFormat="0" applyBorder="0" applyAlignment="0" applyProtection="0"/>
    <xf numFmtId="170" fontId="23" fillId="39" borderId="0" applyNumberFormat="0" applyBorder="0" applyAlignment="0" applyProtection="0"/>
    <xf numFmtId="170" fontId="24" fillId="24" borderId="0" applyNumberFormat="0" applyBorder="0" applyAlignment="0" applyProtection="0"/>
    <xf numFmtId="170" fontId="17" fillId="24" borderId="0" applyNumberFormat="0" applyBorder="0" applyAlignment="0" applyProtection="0"/>
    <xf numFmtId="170" fontId="23" fillId="39" borderId="0" applyNumberFormat="0" applyBorder="0" applyAlignment="0" applyProtection="0"/>
    <xf numFmtId="170" fontId="24" fillId="24" borderId="0" applyNumberFormat="0" applyBorder="0" applyAlignment="0" applyProtection="0"/>
    <xf numFmtId="170" fontId="17" fillId="28" borderId="0" applyNumberFormat="0" applyBorder="0" applyAlignment="0" applyProtection="0"/>
    <xf numFmtId="170" fontId="23" fillId="28" borderId="0" applyNumberFormat="0" applyBorder="0" applyAlignment="0" applyProtection="0"/>
    <xf numFmtId="170" fontId="24" fillId="28" borderId="0" applyNumberFormat="0" applyBorder="0" applyAlignment="0" applyProtection="0"/>
    <xf numFmtId="170" fontId="17" fillId="28" borderId="0" applyNumberFormat="0" applyBorder="0" applyAlignment="0" applyProtection="0"/>
    <xf numFmtId="170" fontId="23" fillId="28" borderId="0" applyNumberFormat="0" applyBorder="0" applyAlignment="0" applyProtection="0"/>
    <xf numFmtId="170" fontId="24" fillId="28" borderId="0" applyNumberFormat="0" applyBorder="0" applyAlignment="0" applyProtection="0"/>
    <xf numFmtId="170" fontId="17" fillId="32" borderId="0" applyNumberFormat="0" applyBorder="0" applyAlignment="0" applyProtection="0"/>
    <xf numFmtId="170" fontId="23" fillId="40" borderId="0" applyNumberFormat="0" applyBorder="0" applyAlignment="0" applyProtection="0"/>
    <xf numFmtId="170" fontId="24" fillId="32" borderId="0" applyNumberFormat="0" applyBorder="0" applyAlignment="0" applyProtection="0"/>
    <xf numFmtId="170" fontId="17" fillId="32" borderId="0" applyNumberFormat="0" applyBorder="0" applyAlignment="0" applyProtection="0"/>
    <xf numFmtId="170" fontId="23" fillId="40" borderId="0" applyNumberFormat="0" applyBorder="0" applyAlignment="0" applyProtection="0"/>
    <xf numFmtId="170" fontId="24" fillId="32" borderId="0" applyNumberFormat="0" applyBorder="0" applyAlignment="0" applyProtection="0"/>
    <xf numFmtId="170" fontId="17" fillId="9" borderId="0" applyNumberFormat="0" applyBorder="0" applyAlignment="0" applyProtection="0"/>
    <xf numFmtId="170" fontId="23" fillId="9" borderId="0" applyNumberFormat="0" applyBorder="0" applyAlignment="0" applyProtection="0"/>
    <xf numFmtId="170" fontId="24" fillId="9" borderId="0" applyNumberFormat="0" applyBorder="0" applyAlignment="0" applyProtection="0"/>
    <xf numFmtId="170" fontId="17" fillId="9" borderId="0" applyNumberFormat="0" applyBorder="0" applyAlignment="0" applyProtection="0"/>
    <xf numFmtId="170" fontId="23" fillId="9" borderId="0" applyNumberFormat="0" applyBorder="0" applyAlignment="0" applyProtection="0"/>
    <xf numFmtId="170" fontId="24" fillId="9" borderId="0" applyNumberFormat="0" applyBorder="0" applyAlignment="0" applyProtection="0"/>
    <xf numFmtId="170" fontId="17" fillId="13" borderId="0" applyNumberFormat="0" applyBorder="0" applyAlignment="0" applyProtection="0"/>
    <xf numFmtId="170" fontId="23" fillId="13" borderId="0" applyNumberFormat="0" applyBorder="0" applyAlignment="0" applyProtection="0"/>
    <xf numFmtId="170" fontId="24" fillId="13" borderId="0" applyNumberFormat="0" applyBorder="0" applyAlignment="0" applyProtection="0"/>
    <xf numFmtId="170" fontId="17" fillId="13" borderId="0" applyNumberFormat="0" applyBorder="0" applyAlignment="0" applyProtection="0"/>
    <xf numFmtId="170" fontId="23" fillId="13" borderId="0" applyNumberFormat="0" applyBorder="0" applyAlignment="0" applyProtection="0"/>
    <xf numFmtId="170" fontId="24" fillId="13" borderId="0" applyNumberFormat="0" applyBorder="0" applyAlignment="0" applyProtection="0"/>
    <xf numFmtId="170" fontId="17" fillId="17" borderId="0" applyNumberFormat="0" applyBorder="0" applyAlignment="0" applyProtection="0"/>
    <xf numFmtId="170" fontId="23" fillId="17" borderId="0" applyNumberFormat="0" applyBorder="0" applyAlignment="0" applyProtection="0"/>
    <xf numFmtId="170" fontId="24" fillId="17" borderId="0" applyNumberFormat="0" applyBorder="0" applyAlignment="0" applyProtection="0"/>
    <xf numFmtId="170" fontId="17" fillId="17" borderId="0" applyNumberFormat="0" applyBorder="0" applyAlignment="0" applyProtection="0"/>
    <xf numFmtId="170" fontId="23" fillId="17" borderId="0" applyNumberFormat="0" applyBorder="0" applyAlignment="0" applyProtection="0"/>
    <xf numFmtId="170" fontId="24" fillId="17" borderId="0" applyNumberFormat="0" applyBorder="0" applyAlignment="0" applyProtection="0"/>
    <xf numFmtId="170" fontId="17" fillId="21" borderId="0" applyNumberFormat="0" applyBorder="0" applyAlignment="0" applyProtection="0"/>
    <xf numFmtId="170" fontId="23" fillId="21" borderId="0" applyNumberFormat="0" applyBorder="0" applyAlignment="0" applyProtection="0"/>
    <xf numFmtId="170" fontId="24" fillId="21" borderId="0" applyNumberFormat="0" applyBorder="0" applyAlignment="0" applyProtection="0"/>
    <xf numFmtId="170" fontId="17" fillId="21" borderId="0" applyNumberFormat="0" applyBorder="0" applyAlignment="0" applyProtection="0"/>
    <xf numFmtId="170" fontId="23" fillId="21" borderId="0" applyNumberFormat="0" applyBorder="0" applyAlignment="0" applyProtection="0"/>
    <xf numFmtId="170" fontId="24" fillId="21" borderId="0" applyNumberFormat="0" applyBorder="0" applyAlignment="0" applyProtection="0"/>
    <xf numFmtId="170" fontId="17" fillId="25" borderId="0" applyNumberFormat="0" applyBorder="0" applyAlignment="0" applyProtection="0"/>
    <xf numFmtId="170" fontId="23" fillId="25" borderId="0" applyNumberFormat="0" applyBorder="0" applyAlignment="0" applyProtection="0"/>
    <xf numFmtId="170" fontId="24" fillId="25" borderId="0" applyNumberFormat="0" applyBorder="0" applyAlignment="0" applyProtection="0"/>
    <xf numFmtId="170" fontId="17" fillId="25" borderId="0" applyNumberFormat="0" applyBorder="0" applyAlignment="0" applyProtection="0"/>
    <xf numFmtId="170" fontId="23" fillId="25" borderId="0" applyNumberFormat="0" applyBorder="0" applyAlignment="0" applyProtection="0"/>
    <xf numFmtId="170" fontId="24" fillId="25" borderId="0" applyNumberFormat="0" applyBorder="0" applyAlignment="0" applyProtection="0"/>
    <xf numFmtId="170" fontId="17" fillId="29" borderId="0" applyNumberFormat="0" applyBorder="0" applyAlignment="0" applyProtection="0"/>
    <xf numFmtId="170" fontId="23" fillId="29" borderId="0" applyNumberFormat="0" applyBorder="0" applyAlignment="0" applyProtection="0"/>
    <xf numFmtId="170" fontId="24" fillId="29" borderId="0" applyNumberFormat="0" applyBorder="0" applyAlignment="0" applyProtection="0"/>
    <xf numFmtId="170" fontId="17" fillId="29" borderId="0" applyNumberFormat="0" applyBorder="0" applyAlignment="0" applyProtection="0"/>
    <xf numFmtId="170" fontId="23" fillId="29" borderId="0" applyNumberFormat="0" applyBorder="0" applyAlignment="0" applyProtection="0"/>
    <xf numFmtId="170" fontId="24" fillId="29" borderId="0" applyNumberFormat="0" applyBorder="0" applyAlignment="0" applyProtection="0"/>
    <xf numFmtId="171" fontId="25" fillId="0" borderId="0"/>
    <xf numFmtId="170" fontId="7" fillId="3" borderId="0" applyNumberFormat="0" applyBorder="0" applyAlignment="0" applyProtection="0"/>
    <xf numFmtId="170" fontId="26" fillId="3" borderId="0" applyNumberFormat="0" applyBorder="0" applyAlignment="0" applyProtection="0"/>
    <xf numFmtId="170" fontId="27" fillId="3" borderId="0" applyNumberFormat="0" applyBorder="0" applyAlignment="0" applyProtection="0"/>
    <xf numFmtId="170" fontId="7" fillId="3" borderId="0" applyNumberFormat="0" applyBorder="0" applyAlignment="0" applyProtection="0"/>
    <xf numFmtId="170" fontId="26" fillId="3" borderId="0" applyNumberFormat="0" applyBorder="0" applyAlignment="0" applyProtection="0"/>
    <xf numFmtId="170" fontId="27" fillId="3" borderId="0" applyNumberFormat="0" applyBorder="0" applyAlignment="0" applyProtection="0"/>
    <xf numFmtId="170" fontId="11" fillId="6" borderId="4" applyNumberFormat="0" applyAlignment="0" applyProtection="0"/>
    <xf numFmtId="170" fontId="28" fillId="6" borderId="4" applyNumberFormat="0" applyAlignment="0" applyProtection="0"/>
    <xf numFmtId="170" fontId="29" fillId="6" borderId="4" applyNumberFormat="0" applyAlignment="0" applyProtection="0"/>
    <xf numFmtId="170" fontId="11" fillId="6" borderId="4" applyNumberFormat="0" applyAlignment="0" applyProtection="0"/>
    <xf numFmtId="170" fontId="28" fillId="6" borderId="4" applyNumberFormat="0" applyAlignment="0" applyProtection="0"/>
    <xf numFmtId="170" fontId="29" fillId="6" borderId="4" applyNumberFormat="0" applyAlignment="0" applyProtection="0"/>
    <xf numFmtId="170" fontId="13" fillId="7" borderId="7" applyNumberFormat="0" applyAlignment="0" applyProtection="0"/>
    <xf numFmtId="170" fontId="30" fillId="7" borderId="7" applyNumberFormat="0" applyAlignment="0" applyProtection="0"/>
    <xf numFmtId="170" fontId="31" fillId="7" borderId="7" applyNumberFormat="0" applyAlignment="0" applyProtection="0"/>
    <xf numFmtId="170" fontId="13" fillId="7" borderId="7" applyNumberFormat="0" applyAlignment="0" applyProtection="0"/>
    <xf numFmtId="170" fontId="30" fillId="7" borderId="7" applyNumberFormat="0" applyAlignment="0" applyProtection="0"/>
    <xf numFmtId="170" fontId="31" fillId="7" borderId="7" applyNumberFormat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4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4" fillId="0" borderId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0" fontId="15" fillId="0" borderId="0" applyNumberFormat="0" applyFill="0" applyBorder="0" applyAlignment="0" applyProtection="0"/>
    <xf numFmtId="170" fontId="38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70" fontId="15" fillId="0" borderId="0" applyNumberFormat="0" applyFill="0" applyBorder="0" applyAlignment="0" applyProtection="0"/>
    <xf numFmtId="170" fontId="38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0" fontId="6" fillId="2" borderId="0" applyNumberFormat="0" applyBorder="0" applyAlignment="0" applyProtection="0"/>
    <xf numFmtId="170" fontId="41" fillId="2" borderId="0" applyNumberFormat="0" applyBorder="0" applyAlignment="0" applyProtection="0"/>
    <xf numFmtId="170" fontId="42" fillId="2" borderId="0" applyNumberFormat="0" applyBorder="0" applyAlignment="0" applyProtection="0"/>
    <xf numFmtId="170" fontId="6" fillId="2" borderId="0" applyNumberFormat="0" applyBorder="0" applyAlignment="0" applyProtection="0"/>
    <xf numFmtId="170" fontId="41" fillId="2" borderId="0" applyNumberFormat="0" applyBorder="0" applyAlignment="0" applyProtection="0"/>
    <xf numFmtId="170" fontId="42" fillId="2" borderId="0" applyNumberFormat="0" applyBorder="0" applyAlignment="0" applyProtection="0"/>
    <xf numFmtId="170" fontId="3" fillId="0" borderId="1" applyNumberFormat="0" applyFill="0" applyAlignment="0" applyProtection="0"/>
    <xf numFmtId="170" fontId="43" fillId="0" borderId="1" applyNumberFormat="0" applyFill="0" applyAlignment="0" applyProtection="0"/>
    <xf numFmtId="170" fontId="44" fillId="0" borderId="1" applyNumberFormat="0" applyFill="0" applyAlignment="0" applyProtection="0"/>
    <xf numFmtId="170" fontId="3" fillId="0" borderId="1" applyNumberFormat="0" applyFill="0" applyAlignment="0" applyProtection="0"/>
    <xf numFmtId="170" fontId="43" fillId="0" borderId="1" applyNumberFormat="0" applyFill="0" applyAlignment="0" applyProtection="0"/>
    <xf numFmtId="170" fontId="44" fillId="0" borderId="1" applyNumberFormat="0" applyFill="0" applyAlignment="0" applyProtection="0"/>
    <xf numFmtId="170" fontId="4" fillId="0" borderId="2" applyNumberFormat="0" applyFill="0" applyAlignment="0" applyProtection="0"/>
    <xf numFmtId="170" fontId="45" fillId="0" borderId="2" applyNumberFormat="0" applyFill="0" applyAlignment="0" applyProtection="0"/>
    <xf numFmtId="170" fontId="46" fillId="0" borderId="2" applyNumberFormat="0" applyFill="0" applyAlignment="0" applyProtection="0"/>
    <xf numFmtId="170" fontId="4" fillId="0" borderId="2" applyNumberFormat="0" applyFill="0" applyAlignment="0" applyProtection="0"/>
    <xf numFmtId="170" fontId="45" fillId="0" borderId="2" applyNumberFormat="0" applyFill="0" applyAlignment="0" applyProtection="0"/>
    <xf numFmtId="170" fontId="46" fillId="0" borderId="2" applyNumberFormat="0" applyFill="0" applyAlignment="0" applyProtection="0"/>
    <xf numFmtId="170" fontId="5" fillId="0" borderId="3" applyNumberFormat="0" applyFill="0" applyAlignment="0" applyProtection="0"/>
    <xf numFmtId="170" fontId="47" fillId="0" borderId="3" applyNumberFormat="0" applyFill="0" applyAlignment="0" applyProtection="0"/>
    <xf numFmtId="170" fontId="48" fillId="0" borderId="3" applyNumberFormat="0" applyFill="0" applyAlignment="0" applyProtection="0"/>
    <xf numFmtId="170" fontId="5" fillId="0" borderId="3" applyNumberFormat="0" applyFill="0" applyAlignment="0" applyProtection="0"/>
    <xf numFmtId="170" fontId="47" fillId="0" borderId="3" applyNumberFormat="0" applyFill="0" applyAlignment="0" applyProtection="0"/>
    <xf numFmtId="170" fontId="48" fillId="0" borderId="3" applyNumberFormat="0" applyFill="0" applyAlignment="0" applyProtection="0"/>
    <xf numFmtId="170" fontId="5" fillId="0" borderId="0" applyNumberFormat="0" applyFill="0" applyBorder="0" applyAlignment="0" applyProtection="0"/>
    <xf numFmtId="170" fontId="47" fillId="0" borderId="0" applyNumberFormat="0" applyFill="0" applyBorder="0" applyAlignment="0" applyProtection="0"/>
    <xf numFmtId="170" fontId="48" fillId="0" borderId="0" applyNumberFormat="0" applyFill="0" applyBorder="0" applyAlignment="0" applyProtection="0"/>
    <xf numFmtId="170" fontId="5" fillId="0" borderId="0" applyNumberFormat="0" applyFill="0" applyBorder="0" applyAlignment="0" applyProtection="0"/>
    <xf numFmtId="170" fontId="47" fillId="0" borderId="0" applyNumberFormat="0" applyFill="0" applyBorder="0" applyAlignment="0" applyProtection="0"/>
    <xf numFmtId="17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70" fontId="9" fillId="5" borderId="4" applyNumberFormat="0" applyAlignment="0" applyProtection="0"/>
    <xf numFmtId="170" fontId="51" fillId="5" borderId="4" applyNumberFormat="0" applyAlignment="0" applyProtection="0"/>
    <xf numFmtId="170" fontId="52" fillId="5" borderId="4" applyNumberFormat="0" applyAlignment="0" applyProtection="0"/>
    <xf numFmtId="170" fontId="9" fillId="5" borderId="4" applyNumberFormat="0" applyAlignment="0" applyProtection="0"/>
    <xf numFmtId="170" fontId="51" fillId="5" borderId="4" applyNumberFormat="0" applyAlignment="0" applyProtection="0"/>
    <xf numFmtId="170" fontId="52" fillId="5" borderId="4" applyNumberFormat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2" fillId="0" borderId="6" applyNumberFormat="0" applyFill="0" applyAlignment="0" applyProtection="0"/>
    <xf numFmtId="170" fontId="53" fillId="0" borderId="6" applyNumberFormat="0" applyFill="0" applyAlignment="0" applyProtection="0"/>
    <xf numFmtId="170" fontId="54" fillId="0" borderId="6" applyNumberFormat="0" applyFill="0" applyAlignment="0" applyProtection="0"/>
    <xf numFmtId="170" fontId="12" fillId="0" borderId="6" applyNumberFormat="0" applyFill="0" applyAlignment="0" applyProtection="0"/>
    <xf numFmtId="170" fontId="53" fillId="0" borderId="6" applyNumberFormat="0" applyFill="0" applyAlignment="0" applyProtection="0"/>
    <xf numFmtId="170" fontId="54" fillId="0" borderId="6" applyNumberFormat="0" applyFill="0" applyAlignment="0" applyProtection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38" fontId="55" fillId="0" borderId="0"/>
    <xf numFmtId="176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8" fillId="4" borderId="0" applyNumberFormat="0" applyBorder="0" applyAlignment="0" applyProtection="0"/>
    <xf numFmtId="170" fontId="56" fillId="4" borderId="0" applyNumberFormat="0" applyBorder="0" applyAlignment="0" applyProtection="0"/>
    <xf numFmtId="170" fontId="57" fillId="4" borderId="0" applyNumberFormat="0" applyBorder="0" applyAlignment="0" applyProtection="0"/>
    <xf numFmtId="170" fontId="8" fillId="4" borderId="0" applyNumberFormat="0" applyBorder="0" applyAlignment="0" applyProtection="0"/>
    <xf numFmtId="170" fontId="56" fillId="4" borderId="0" applyNumberFormat="0" applyBorder="0" applyAlignment="0" applyProtection="0"/>
    <xf numFmtId="170" fontId="57" fillId="4" borderId="0" applyNumberFormat="0" applyBorder="0" applyAlignment="0" applyProtection="0"/>
    <xf numFmtId="0" fontId="32" fillId="0" borderId="0"/>
    <xf numFmtId="179" fontId="32" fillId="0" borderId="0"/>
    <xf numFmtId="179" fontId="32" fillId="0" borderId="0"/>
    <xf numFmtId="179" fontId="32" fillId="0" borderId="0"/>
    <xf numFmtId="170" fontId="1" fillId="0" borderId="0"/>
    <xf numFmtId="170" fontId="21" fillId="0" borderId="0"/>
    <xf numFmtId="170" fontId="22" fillId="0" borderId="0"/>
    <xf numFmtId="0" fontId="1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0" fontId="32" fillId="0" borderId="0"/>
    <xf numFmtId="170" fontId="32" fillId="0" borderId="0"/>
    <xf numFmtId="0" fontId="32" fillId="0" borderId="0"/>
    <xf numFmtId="0" fontId="32" fillId="0" borderId="0"/>
    <xf numFmtId="0" fontId="33" fillId="0" borderId="0"/>
    <xf numFmtId="179" fontId="32" fillId="0" borderId="0"/>
    <xf numFmtId="0" fontId="32" fillId="0" borderId="0"/>
    <xf numFmtId="179" fontId="32" fillId="0" borderId="0"/>
    <xf numFmtId="0" fontId="32" fillId="0" borderId="0"/>
    <xf numFmtId="0" fontId="32" fillId="0" borderId="0"/>
    <xf numFmtId="179" fontId="3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32" fillId="0" borderId="0"/>
    <xf numFmtId="0" fontId="1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0" fontId="32" fillId="0" borderId="0"/>
    <xf numFmtId="170" fontId="32" fillId="0" borderId="0"/>
    <xf numFmtId="0" fontId="21" fillId="0" borderId="0"/>
    <xf numFmtId="0" fontId="22" fillId="0" borderId="0"/>
    <xf numFmtId="0" fontId="1" fillId="0" borderId="0"/>
    <xf numFmtId="179" fontId="32" fillId="0" borderId="0"/>
    <xf numFmtId="0" fontId="1" fillId="0" borderId="0"/>
    <xf numFmtId="179" fontId="32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58" fillId="0" borderId="0"/>
    <xf numFmtId="0" fontId="32" fillId="0" borderId="0"/>
    <xf numFmtId="0" fontId="58" fillId="0" borderId="0"/>
    <xf numFmtId="0" fontId="32" fillId="0" borderId="0"/>
    <xf numFmtId="0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0" fontId="37" fillId="0" borderId="0"/>
    <xf numFmtId="0" fontId="32" fillId="0" borderId="0"/>
    <xf numFmtId="0" fontId="32" fillId="0" borderId="0"/>
    <xf numFmtId="170" fontId="32" fillId="0" borderId="0"/>
    <xf numFmtId="170" fontId="32" fillId="0" borderId="0"/>
    <xf numFmtId="0" fontId="37" fillId="0" borderId="0"/>
    <xf numFmtId="0" fontId="32" fillId="0" borderId="0"/>
    <xf numFmtId="0" fontId="32" fillId="0" borderId="0"/>
    <xf numFmtId="0" fontId="37" fillId="0" borderId="0"/>
    <xf numFmtId="0" fontId="32" fillId="0" borderId="0"/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32" fillId="0" borderId="0"/>
    <xf numFmtId="0" fontId="59" fillId="8" borderId="8" applyNumberFormat="0" applyFont="0" applyAlignment="0" applyProtection="0"/>
    <xf numFmtId="170" fontId="59" fillId="8" borderId="8" applyNumberFormat="0" applyFont="0" applyAlignment="0" applyProtection="0"/>
    <xf numFmtId="170" fontId="60" fillId="8" borderId="8" applyNumberFormat="0" applyFont="0" applyAlignment="0" applyProtection="0"/>
    <xf numFmtId="170" fontId="1" fillId="8" borderId="8" applyNumberFormat="0" applyFont="0" applyAlignment="0" applyProtection="0"/>
    <xf numFmtId="170" fontId="22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170" fontId="59" fillId="8" borderId="8" applyNumberFormat="0" applyFont="0" applyAlignment="0" applyProtection="0"/>
    <xf numFmtId="170" fontId="60" fillId="8" borderId="8" applyNumberFormat="0" applyFont="0" applyAlignment="0" applyProtection="0"/>
    <xf numFmtId="170" fontId="1" fillId="8" borderId="8" applyNumberFormat="0" applyFont="0" applyAlignment="0" applyProtection="0"/>
    <xf numFmtId="170" fontId="22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170" fontId="10" fillId="6" borderId="5" applyNumberFormat="0" applyAlignment="0" applyProtection="0"/>
    <xf numFmtId="170" fontId="61" fillId="6" borderId="5" applyNumberFormat="0" applyAlignment="0" applyProtection="0"/>
    <xf numFmtId="170" fontId="62" fillId="6" borderId="5" applyNumberFormat="0" applyAlignment="0" applyProtection="0"/>
    <xf numFmtId="170" fontId="10" fillId="6" borderId="5" applyNumberFormat="0" applyAlignment="0" applyProtection="0"/>
    <xf numFmtId="170" fontId="61" fillId="6" borderId="5" applyNumberFormat="0" applyAlignment="0" applyProtection="0"/>
    <xf numFmtId="170" fontId="62" fillId="6" borderId="5" applyNumberFormat="0" applyAlignment="0" applyProtection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65" fillId="0" borderId="0"/>
    <xf numFmtId="170" fontId="1" fillId="0" borderId="0"/>
    <xf numFmtId="170" fontId="21" fillId="0" borderId="0"/>
    <xf numFmtId="170" fontId="22" fillId="0" borderId="0"/>
    <xf numFmtId="0" fontId="2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170" fontId="1" fillId="0" borderId="0"/>
    <xf numFmtId="170" fontId="21" fillId="0" borderId="0"/>
    <xf numFmtId="170" fontId="2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7" fillId="0" borderId="0"/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70" fontId="66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170" fontId="2" fillId="0" borderId="0" applyNumberFormat="0" applyFill="0" applyBorder="0" applyAlignment="0" applyProtection="0"/>
    <xf numFmtId="170" fontId="68" fillId="0" borderId="0" applyNumberFormat="0" applyFill="0" applyBorder="0" applyAlignment="0" applyProtection="0"/>
    <xf numFmtId="170" fontId="66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170" fontId="2" fillId="0" borderId="0" applyNumberFormat="0" applyFill="0" applyBorder="0" applyAlignment="0" applyProtection="0"/>
    <xf numFmtId="170" fontId="68" fillId="0" borderId="0" applyNumberFormat="0" applyFill="0" applyBorder="0" applyAlignment="0" applyProtection="0"/>
    <xf numFmtId="170" fontId="16" fillId="0" borderId="9" applyNumberFormat="0" applyFill="0" applyAlignment="0" applyProtection="0"/>
    <xf numFmtId="170" fontId="69" fillId="0" borderId="9" applyNumberFormat="0" applyFill="0" applyAlignment="0" applyProtection="0"/>
    <xf numFmtId="170" fontId="70" fillId="0" borderId="9" applyNumberFormat="0" applyFill="0" applyAlignment="0" applyProtection="0"/>
    <xf numFmtId="170" fontId="16" fillId="0" borderId="9" applyNumberFormat="0" applyFill="0" applyAlignment="0" applyProtection="0"/>
    <xf numFmtId="170" fontId="69" fillId="0" borderId="9" applyNumberFormat="0" applyFill="0" applyAlignment="0" applyProtection="0"/>
    <xf numFmtId="170" fontId="70" fillId="0" borderId="9" applyNumberFormat="0" applyFill="0" applyAlignment="0" applyProtection="0"/>
    <xf numFmtId="178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70" fontId="14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170" fontId="14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0" fontId="32" fillId="0" borderId="0"/>
    <xf numFmtId="0" fontId="73" fillId="0" borderId="0">
      <alignment vertical="center"/>
    </xf>
    <xf numFmtId="40" fontId="33" fillId="0" borderId="0"/>
    <xf numFmtId="0" fontId="32" fillId="0" borderId="0"/>
    <xf numFmtId="0" fontId="32" fillId="0" borderId="0"/>
    <xf numFmtId="40" fontId="33" fillId="0" borderId="0"/>
    <xf numFmtId="0" fontId="32" fillId="0" borderId="0"/>
    <xf numFmtId="0" fontId="32" fillId="0" borderId="0"/>
    <xf numFmtId="165" fontId="32" fillId="0" borderId="0" applyFont="0" applyFill="0" applyBorder="0" applyAlignment="0" applyProtection="0"/>
    <xf numFmtId="1" fontId="78" fillId="0" borderId="0"/>
    <xf numFmtId="1" fontId="78" fillId="0" borderId="0">
      <alignment horizontal="right"/>
    </xf>
    <xf numFmtId="38" fontId="78" fillId="0" borderId="0"/>
    <xf numFmtId="173" fontId="65" fillId="0" borderId="0" applyFont="0" applyFill="0" applyBorder="0" applyAlignment="0" applyProtection="0"/>
    <xf numFmtId="171" fontId="79" fillId="0" borderId="0"/>
    <xf numFmtId="175" fontId="77" fillId="0" borderId="0"/>
    <xf numFmtId="175" fontId="77" fillId="0" borderId="0"/>
    <xf numFmtId="173" fontId="76" fillId="0" borderId="0" applyFont="0" applyFill="0" applyBorder="0" applyAlignment="0" applyProtection="0"/>
    <xf numFmtId="1" fontId="78" fillId="0" borderId="0"/>
    <xf numFmtId="1" fontId="78" fillId="0" borderId="0">
      <alignment horizontal="right"/>
    </xf>
    <xf numFmtId="171" fontId="79" fillId="0" borderId="0"/>
    <xf numFmtId="38" fontId="78" fillId="0" borderId="0"/>
    <xf numFmtId="175" fontId="77" fillId="0" borderId="0"/>
    <xf numFmtId="0" fontId="80" fillId="0" borderId="0"/>
    <xf numFmtId="175" fontId="77" fillId="0" borderId="0"/>
    <xf numFmtId="173" fontId="65" fillId="0" borderId="0" applyFont="0" applyFill="0" applyBorder="0" applyAlignment="0" applyProtection="0"/>
    <xf numFmtId="179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80" fillId="0" borderId="0"/>
    <xf numFmtId="0" fontId="65" fillId="0" borderId="0"/>
    <xf numFmtId="0" fontId="80" fillId="0" borderId="0"/>
    <xf numFmtId="0" fontId="65" fillId="0" borderId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49" fontId="19" fillId="0" borderId="12" xfId="0" applyNumberFormat="1" applyFont="1" applyBorder="1" applyAlignment="1">
      <alignment horizontal="right" vertical="center" wrapText="1"/>
    </xf>
    <xf numFmtId="0" fontId="0" fillId="0" borderId="13" xfId="0" applyBorder="1" applyAlignment="1">
      <alignment vertical="center"/>
    </xf>
    <xf numFmtId="0" fontId="0" fillId="0" borderId="0" xfId="0" applyAlignment="1">
      <alignment horizontal="right"/>
    </xf>
    <xf numFmtId="167" fontId="0" fillId="0" borderId="0" xfId="2" applyNumberFormat="1" applyFont="1" applyBorder="1"/>
    <xf numFmtId="168" fontId="0" fillId="0" borderId="0" xfId="1" applyNumberFormat="1" applyFont="1" applyBorder="1"/>
    <xf numFmtId="168" fontId="0" fillId="33" borderId="0" xfId="1" applyNumberFormat="1" applyFont="1" applyFill="1" applyBorder="1"/>
    <xf numFmtId="0" fontId="20" fillId="0" borderId="0" xfId="0" applyFont="1" applyAlignment="1">
      <alignment horizontal="right"/>
    </xf>
    <xf numFmtId="168" fontId="0" fillId="0" borderId="0" xfId="1" applyNumberFormat="1" applyFont="1" applyFill="1" applyBorder="1"/>
    <xf numFmtId="168" fontId="0" fillId="0" borderId="0" xfId="1" applyNumberFormat="1" applyFont="1"/>
    <xf numFmtId="166" fontId="0" fillId="0" borderId="0" xfId="1" applyFont="1"/>
    <xf numFmtId="169" fontId="0" fillId="0" borderId="0" xfId="3" applyNumberFormat="1" applyFont="1"/>
    <xf numFmtId="166" fontId="0" fillId="0" borderId="0" xfId="1" applyFont="1" applyAlignment="1">
      <alignment horizontal="right"/>
    </xf>
    <xf numFmtId="3" fontId="0" fillId="0" borderId="0" xfId="0" applyNumberFormat="1"/>
    <xf numFmtId="1" fontId="37" fillId="44" borderId="12" xfId="1" applyNumberFormat="1" applyFont="1" applyFill="1" applyBorder="1" applyAlignment="1">
      <alignment horizontal="center" vertical="center" wrapText="1"/>
    </xf>
    <xf numFmtId="1" fontId="75" fillId="44" borderId="15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166" fontId="0" fillId="0" borderId="0" xfId="1" applyFont="1" applyFill="1" applyBorder="1" applyAlignment="1">
      <alignment horizontal="right"/>
    </xf>
    <xf numFmtId="166" fontId="82" fillId="33" borderId="0" xfId="1" applyFont="1" applyFill="1" applyBorder="1"/>
    <xf numFmtId="166" fontId="0" fillId="0" borderId="0" xfId="1" applyFont="1" applyBorder="1" applyAlignment="1">
      <alignment horizontal="right"/>
    </xf>
    <xf numFmtId="166" fontId="0" fillId="0" borderId="0" xfId="1" applyFont="1" applyBorder="1"/>
    <xf numFmtId="168" fontId="82" fillId="0" borderId="0" xfId="1" applyNumberFormat="1" applyFont="1" applyFill="1" applyBorder="1"/>
    <xf numFmtId="49" fontId="18" fillId="0" borderId="0" xfId="0" applyNumberFormat="1" applyFont="1" applyAlignment="1">
      <alignment horizontal="right" vertical="center" wrapText="1"/>
    </xf>
    <xf numFmtId="9" fontId="81" fillId="0" borderId="0" xfId="3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1" fontId="0" fillId="0" borderId="0" xfId="1" applyNumberFormat="1" applyFont="1"/>
    <xf numFmtId="49" fontId="19" fillId="0" borderId="0" xfId="0" applyNumberFormat="1" applyFont="1" applyAlignment="1">
      <alignment horizontal="right" vertical="center" wrapText="1"/>
    </xf>
    <xf numFmtId="1" fontId="75" fillId="44" borderId="16" xfId="1" applyNumberFormat="1" applyFont="1" applyFill="1" applyBorder="1" applyAlignment="1">
      <alignment horizontal="center" vertical="center" wrapText="1"/>
    </xf>
    <xf numFmtId="168" fontId="82" fillId="0" borderId="0" xfId="1" applyNumberFormat="1" applyFont="1" applyBorder="1"/>
    <xf numFmtId="9" fontId="81" fillId="0" borderId="0" xfId="0" applyNumberFormat="1" applyFont="1" applyAlignment="1">
      <alignment horizontal="right"/>
    </xf>
    <xf numFmtId="168" fontId="82" fillId="33" borderId="0" xfId="1" applyNumberFormat="1" applyFont="1" applyFill="1" applyBorder="1"/>
    <xf numFmtId="168" fontId="82" fillId="41" borderId="0" xfId="1" applyNumberFormat="1" applyFont="1" applyFill="1" applyBorder="1"/>
    <xf numFmtId="49" fontId="18" fillId="0" borderId="12" xfId="0" applyNumberFormat="1" applyFont="1" applyBorder="1" applyAlignment="1">
      <alignment horizontal="right" vertical="center" wrapText="1"/>
    </xf>
    <xf numFmtId="166" fontId="0" fillId="33" borderId="0" xfId="1" applyFont="1" applyFill="1" applyBorder="1"/>
    <xf numFmtId="177" fontId="37" fillId="42" borderId="0" xfId="675" applyNumberFormat="1" applyFont="1" applyFill="1" applyAlignment="1">
      <alignment horizontal="right"/>
    </xf>
    <xf numFmtId="0" fontId="74" fillId="45" borderId="0" xfId="675" applyFont="1" applyFill="1" applyAlignment="1">
      <alignment horizontal="center" vertical="center" wrapText="1"/>
    </xf>
    <xf numFmtId="0" fontId="74" fillId="45" borderId="13" xfId="675" applyFont="1" applyFill="1" applyBorder="1" applyAlignment="1">
      <alignment horizontal="center" vertical="center" wrapText="1"/>
    </xf>
    <xf numFmtId="0" fontId="74" fillId="45" borderId="17" xfId="675" applyFont="1" applyFill="1" applyBorder="1" applyAlignment="1">
      <alignment horizontal="center" vertical="center" wrapText="1"/>
    </xf>
    <xf numFmtId="168" fontId="75" fillId="44" borderId="15" xfId="1" applyNumberFormat="1" applyFont="1" applyFill="1" applyBorder="1" applyAlignment="1">
      <alignment horizontal="center" vertical="center" wrapText="1"/>
    </xf>
    <xf numFmtId="168" fontId="74" fillId="45" borderId="13" xfId="1" applyNumberFormat="1" applyFont="1" applyFill="1" applyBorder="1" applyAlignment="1">
      <alignment horizontal="center" vertical="center" wrapText="1"/>
    </xf>
    <xf numFmtId="168" fontId="74" fillId="45" borderId="0" xfId="1" applyNumberFormat="1" applyFont="1" applyFill="1" applyBorder="1" applyAlignment="1">
      <alignment horizontal="center" vertical="center" wrapText="1"/>
    </xf>
    <xf numFmtId="168" fontId="37" fillId="42" borderId="0" xfId="1" applyNumberFormat="1" applyFont="1" applyFill="1" applyBorder="1" applyAlignment="1">
      <alignment horizontal="right"/>
    </xf>
    <xf numFmtId="180" fontId="0" fillId="0" borderId="0" xfId="0" applyNumberFormat="1"/>
    <xf numFmtId="0" fontId="32" fillId="0" borderId="0" xfId="682"/>
    <xf numFmtId="0" fontId="32" fillId="0" borderId="18" xfId="682" applyBorder="1"/>
    <xf numFmtId="181" fontId="0" fillId="0" borderId="0" xfId="0" applyNumberFormat="1"/>
    <xf numFmtId="0" fontId="86" fillId="0" borderId="0" xfId="0" applyFont="1"/>
    <xf numFmtId="0" fontId="32" fillId="0" borderId="0" xfId="0" applyFont="1"/>
    <xf numFmtId="0" fontId="32" fillId="0" borderId="18" xfId="0" applyFont="1" applyBorder="1"/>
    <xf numFmtId="2" fontId="0" fillId="0" borderId="0" xfId="0" applyNumberFormat="1"/>
    <xf numFmtId="2" fontId="0" fillId="0" borderId="0" xfId="1" applyNumberFormat="1" applyFont="1"/>
    <xf numFmtId="182" fontId="0" fillId="0" borderId="0" xfId="0" applyNumberFormat="1"/>
    <xf numFmtId="182" fontId="0" fillId="0" borderId="0" xfId="1" applyNumberFormat="1" applyFont="1"/>
    <xf numFmtId="17" fontId="74" fillId="45" borderId="15" xfId="682" applyNumberFormat="1" applyFont="1" applyFill="1" applyBorder="1" applyAlignment="1">
      <alignment horizontal="center" vertical="center" wrapText="1"/>
    </xf>
    <xf numFmtId="17" fontId="74" fillId="45" borderId="16" xfId="682" applyNumberFormat="1" applyFont="1" applyFill="1" applyBorder="1" applyAlignment="1">
      <alignment horizontal="center" vertical="center" wrapText="1"/>
    </xf>
    <xf numFmtId="0" fontId="18" fillId="43" borderId="10" xfId="0" applyFont="1" applyFill="1" applyBorder="1" applyAlignment="1">
      <alignment horizontal="center" vertical="center"/>
    </xf>
    <xf numFmtId="0" fontId="18" fillId="43" borderId="11" xfId="0" applyFont="1" applyFill="1" applyBorder="1" applyAlignment="1">
      <alignment horizontal="center" vertical="center"/>
    </xf>
    <xf numFmtId="166" fontId="16" fillId="0" borderId="14" xfId="1" applyFont="1" applyBorder="1" applyAlignment="1">
      <alignment horizontal="center"/>
    </xf>
  </cellXfs>
  <cellStyles count="926">
    <cellStyle name="20% - Accent1" xfId="21" builtinId="30" customBuiltin="1"/>
    <cellStyle name="20% - Accent1 2" xfId="44" xr:uid="{00000000-0005-0000-0000-000000000000}"/>
    <cellStyle name="20% - Accent1 2 2" xfId="45" xr:uid="{00000000-0005-0000-0000-000001000000}"/>
    <cellStyle name="20% - Accent1 2 2 2" xfId="46" xr:uid="{00000000-0005-0000-0000-000002000000}"/>
    <cellStyle name="20% - Accent1 2 2 3" xfId="47" xr:uid="{00000000-0005-0000-0000-000003000000}"/>
    <cellStyle name="20% - Accent1 2 3" xfId="48" xr:uid="{00000000-0005-0000-0000-000004000000}"/>
    <cellStyle name="20% - Accent1 2 4" xfId="49" xr:uid="{00000000-0005-0000-0000-000005000000}"/>
    <cellStyle name="20% - Accent1 3" xfId="50" xr:uid="{00000000-0005-0000-0000-000006000000}"/>
    <cellStyle name="20% - Accent1 3 2" xfId="51" xr:uid="{00000000-0005-0000-0000-000007000000}"/>
    <cellStyle name="20% - Accent1 3 3" xfId="52" xr:uid="{00000000-0005-0000-0000-000008000000}"/>
    <cellStyle name="20% - Accent2" xfId="25" builtinId="34" customBuiltin="1"/>
    <cellStyle name="20% - Accent2 2" xfId="53" xr:uid="{00000000-0005-0000-0000-000009000000}"/>
    <cellStyle name="20% - Accent2 2 2" xfId="54" xr:uid="{00000000-0005-0000-0000-00000A000000}"/>
    <cellStyle name="20% - Accent2 2 2 2" xfId="55" xr:uid="{00000000-0005-0000-0000-00000B000000}"/>
    <cellStyle name="20% - Accent2 2 2 3" xfId="56" xr:uid="{00000000-0005-0000-0000-00000C000000}"/>
    <cellStyle name="20% - Accent2 2 3" xfId="57" xr:uid="{00000000-0005-0000-0000-00000D000000}"/>
    <cellStyle name="20% - Accent2 2 4" xfId="58" xr:uid="{00000000-0005-0000-0000-00000E000000}"/>
    <cellStyle name="20% - Accent2 3" xfId="59" xr:uid="{00000000-0005-0000-0000-00000F000000}"/>
    <cellStyle name="20% - Accent2 3 2" xfId="60" xr:uid="{00000000-0005-0000-0000-000010000000}"/>
    <cellStyle name="20% - Accent2 3 3" xfId="61" xr:uid="{00000000-0005-0000-0000-000011000000}"/>
    <cellStyle name="20% - Accent3" xfId="29" builtinId="38" customBuiltin="1"/>
    <cellStyle name="20% - Accent3 2" xfId="62" xr:uid="{00000000-0005-0000-0000-000012000000}"/>
    <cellStyle name="20% - Accent3 2 2" xfId="63" xr:uid="{00000000-0005-0000-0000-000013000000}"/>
    <cellStyle name="20% - Accent3 2 2 2" xfId="64" xr:uid="{00000000-0005-0000-0000-000014000000}"/>
    <cellStyle name="20% - Accent3 2 2 3" xfId="65" xr:uid="{00000000-0005-0000-0000-000015000000}"/>
    <cellStyle name="20% - Accent3 2 3" xfId="66" xr:uid="{00000000-0005-0000-0000-000016000000}"/>
    <cellStyle name="20% - Accent3 2 4" xfId="67" xr:uid="{00000000-0005-0000-0000-000017000000}"/>
    <cellStyle name="20% - Accent3 3" xfId="68" xr:uid="{00000000-0005-0000-0000-000018000000}"/>
    <cellStyle name="20% - Accent3 3 2" xfId="69" xr:uid="{00000000-0005-0000-0000-000019000000}"/>
    <cellStyle name="20% - Accent3 3 3" xfId="70" xr:uid="{00000000-0005-0000-0000-00001A000000}"/>
    <cellStyle name="20% - Accent4" xfId="33" builtinId="42" customBuiltin="1"/>
    <cellStyle name="20% - Accent4 2" xfId="71" xr:uid="{00000000-0005-0000-0000-00001B000000}"/>
    <cellStyle name="20% - Accent4 2 2" xfId="72" xr:uid="{00000000-0005-0000-0000-00001C000000}"/>
    <cellStyle name="20% - Accent4 2 2 2" xfId="73" xr:uid="{00000000-0005-0000-0000-00001D000000}"/>
    <cellStyle name="20% - Accent4 2 2 3" xfId="74" xr:uid="{00000000-0005-0000-0000-00001E000000}"/>
    <cellStyle name="20% - Accent4 2 3" xfId="75" xr:uid="{00000000-0005-0000-0000-00001F000000}"/>
    <cellStyle name="20% - Accent4 2 4" xfId="76" xr:uid="{00000000-0005-0000-0000-000020000000}"/>
    <cellStyle name="20% - Accent4 3" xfId="77" xr:uid="{00000000-0005-0000-0000-000021000000}"/>
    <cellStyle name="20% - Accent4 3 2" xfId="78" xr:uid="{00000000-0005-0000-0000-000022000000}"/>
    <cellStyle name="20% - Accent4 3 3" xfId="79" xr:uid="{00000000-0005-0000-0000-000023000000}"/>
    <cellStyle name="20% - Accent5" xfId="37" builtinId="46" customBuiltin="1"/>
    <cellStyle name="20% - Accent5 2" xfId="80" xr:uid="{00000000-0005-0000-0000-000024000000}"/>
    <cellStyle name="20% - Accent5 2 2" xfId="81" xr:uid="{00000000-0005-0000-0000-000025000000}"/>
    <cellStyle name="20% - Accent5 2 2 2" xfId="82" xr:uid="{00000000-0005-0000-0000-000026000000}"/>
    <cellStyle name="20% - Accent5 2 2 3" xfId="83" xr:uid="{00000000-0005-0000-0000-000027000000}"/>
    <cellStyle name="20% - Accent5 2 3" xfId="84" xr:uid="{00000000-0005-0000-0000-000028000000}"/>
    <cellStyle name="20% - Accent5 2 4" xfId="85" xr:uid="{00000000-0005-0000-0000-000029000000}"/>
    <cellStyle name="20% - Accent5 3" xfId="86" xr:uid="{00000000-0005-0000-0000-00002A000000}"/>
    <cellStyle name="20% - Accent5 3 2" xfId="87" xr:uid="{00000000-0005-0000-0000-00002B000000}"/>
    <cellStyle name="20% - Accent5 3 3" xfId="88" xr:uid="{00000000-0005-0000-0000-00002C000000}"/>
    <cellStyle name="20% - Accent6" xfId="41" builtinId="50" customBuiltin="1"/>
    <cellStyle name="20% - Accent6 2" xfId="89" xr:uid="{00000000-0005-0000-0000-00002D000000}"/>
    <cellStyle name="20% - Accent6 2 2" xfId="90" xr:uid="{00000000-0005-0000-0000-00002E000000}"/>
    <cellStyle name="20% - Accent6 2 2 2" xfId="91" xr:uid="{00000000-0005-0000-0000-00002F000000}"/>
    <cellStyle name="20% - Accent6 2 2 3" xfId="92" xr:uid="{00000000-0005-0000-0000-000030000000}"/>
    <cellStyle name="20% - Accent6 2 3" xfId="93" xr:uid="{00000000-0005-0000-0000-000031000000}"/>
    <cellStyle name="20% - Accent6 2 4" xfId="94" xr:uid="{00000000-0005-0000-0000-000032000000}"/>
    <cellStyle name="20% - Accent6 3" xfId="95" xr:uid="{00000000-0005-0000-0000-000033000000}"/>
    <cellStyle name="20% - Accent6 3 2" xfId="96" xr:uid="{00000000-0005-0000-0000-000034000000}"/>
    <cellStyle name="20% - Accent6 3 3" xfId="97" xr:uid="{00000000-0005-0000-0000-000035000000}"/>
    <cellStyle name="20% - 輔色1 2" xfId="98" xr:uid="{00000000-0005-0000-0000-00003C000000}"/>
    <cellStyle name="20% - 輔色2 2" xfId="99" xr:uid="{00000000-0005-0000-0000-00003D000000}"/>
    <cellStyle name="20% - 輔色3 2" xfId="100" xr:uid="{00000000-0005-0000-0000-00003E000000}"/>
    <cellStyle name="20% - 輔色4 2" xfId="101" xr:uid="{00000000-0005-0000-0000-00003F000000}"/>
    <cellStyle name="20% - 輔色5 2" xfId="102" xr:uid="{00000000-0005-0000-0000-000040000000}"/>
    <cellStyle name="20% - 輔色6 2" xfId="103" xr:uid="{00000000-0005-0000-0000-000041000000}"/>
    <cellStyle name="40% - Accent1" xfId="22" builtinId="31" customBuiltin="1"/>
    <cellStyle name="40% - Accent1 2" xfId="104" xr:uid="{00000000-0005-0000-0000-000042000000}"/>
    <cellStyle name="40% - Accent1 2 2" xfId="105" xr:uid="{00000000-0005-0000-0000-000043000000}"/>
    <cellStyle name="40% - Accent1 2 2 2" xfId="106" xr:uid="{00000000-0005-0000-0000-000044000000}"/>
    <cellStyle name="40% - Accent1 2 2 3" xfId="107" xr:uid="{00000000-0005-0000-0000-000045000000}"/>
    <cellStyle name="40% - Accent1 2 3" xfId="108" xr:uid="{00000000-0005-0000-0000-000046000000}"/>
    <cellStyle name="40% - Accent1 2 4" xfId="109" xr:uid="{00000000-0005-0000-0000-000047000000}"/>
    <cellStyle name="40% - Accent1 3" xfId="110" xr:uid="{00000000-0005-0000-0000-000048000000}"/>
    <cellStyle name="40% - Accent1 3 2" xfId="111" xr:uid="{00000000-0005-0000-0000-000049000000}"/>
    <cellStyle name="40% - Accent1 3 3" xfId="112" xr:uid="{00000000-0005-0000-0000-00004A000000}"/>
    <cellStyle name="40% - Accent2" xfId="26" builtinId="35" customBuiltin="1"/>
    <cellStyle name="40% - Accent2 2" xfId="113" xr:uid="{00000000-0005-0000-0000-00004B000000}"/>
    <cellStyle name="40% - Accent2 2 2" xfId="114" xr:uid="{00000000-0005-0000-0000-00004C000000}"/>
    <cellStyle name="40% - Accent2 2 2 2" xfId="115" xr:uid="{00000000-0005-0000-0000-00004D000000}"/>
    <cellStyle name="40% - Accent2 2 2 3" xfId="116" xr:uid="{00000000-0005-0000-0000-00004E000000}"/>
    <cellStyle name="40% - Accent2 2 3" xfId="117" xr:uid="{00000000-0005-0000-0000-00004F000000}"/>
    <cellStyle name="40% - Accent2 2 4" xfId="118" xr:uid="{00000000-0005-0000-0000-000050000000}"/>
    <cellStyle name="40% - Accent2 3" xfId="119" xr:uid="{00000000-0005-0000-0000-000051000000}"/>
    <cellStyle name="40% - Accent2 3 2" xfId="120" xr:uid="{00000000-0005-0000-0000-000052000000}"/>
    <cellStyle name="40% - Accent2 3 3" xfId="121" xr:uid="{00000000-0005-0000-0000-000053000000}"/>
    <cellStyle name="40% - Accent3" xfId="30" builtinId="39" customBuiltin="1"/>
    <cellStyle name="40% - Accent3 2" xfId="122" xr:uid="{00000000-0005-0000-0000-000054000000}"/>
    <cellStyle name="40% - Accent3 2 2" xfId="123" xr:uid="{00000000-0005-0000-0000-000055000000}"/>
    <cellStyle name="40% - Accent3 2 2 2" xfId="124" xr:uid="{00000000-0005-0000-0000-000056000000}"/>
    <cellStyle name="40% - Accent3 2 2 3" xfId="125" xr:uid="{00000000-0005-0000-0000-000057000000}"/>
    <cellStyle name="40% - Accent3 2 3" xfId="126" xr:uid="{00000000-0005-0000-0000-000058000000}"/>
    <cellStyle name="40% - Accent3 2 4" xfId="127" xr:uid="{00000000-0005-0000-0000-000059000000}"/>
    <cellStyle name="40% - Accent3 3" xfId="128" xr:uid="{00000000-0005-0000-0000-00005A000000}"/>
    <cellStyle name="40% - Accent3 3 2" xfId="129" xr:uid="{00000000-0005-0000-0000-00005B000000}"/>
    <cellStyle name="40% - Accent3 3 3" xfId="130" xr:uid="{00000000-0005-0000-0000-00005C000000}"/>
    <cellStyle name="40% - Accent4" xfId="34" builtinId="43" customBuiltin="1"/>
    <cellStyle name="40% - Accent4 2" xfId="131" xr:uid="{00000000-0005-0000-0000-00005D000000}"/>
    <cellStyle name="40% - Accent4 2 2" xfId="132" xr:uid="{00000000-0005-0000-0000-00005E000000}"/>
    <cellStyle name="40% - Accent4 2 2 2" xfId="133" xr:uid="{00000000-0005-0000-0000-00005F000000}"/>
    <cellStyle name="40% - Accent4 2 2 3" xfId="134" xr:uid="{00000000-0005-0000-0000-000060000000}"/>
    <cellStyle name="40% - Accent4 2 3" xfId="135" xr:uid="{00000000-0005-0000-0000-000061000000}"/>
    <cellStyle name="40% - Accent4 2 4" xfId="136" xr:uid="{00000000-0005-0000-0000-000062000000}"/>
    <cellStyle name="40% - Accent4 3" xfId="137" xr:uid="{00000000-0005-0000-0000-000063000000}"/>
    <cellStyle name="40% - Accent4 3 2" xfId="138" xr:uid="{00000000-0005-0000-0000-000064000000}"/>
    <cellStyle name="40% - Accent4 3 3" xfId="139" xr:uid="{00000000-0005-0000-0000-000065000000}"/>
    <cellStyle name="40% - Accent5" xfId="38" builtinId="47" customBuiltin="1"/>
    <cellStyle name="40% - Accent5 2" xfId="140" xr:uid="{00000000-0005-0000-0000-000066000000}"/>
    <cellStyle name="40% - Accent5 2 2" xfId="141" xr:uid="{00000000-0005-0000-0000-000067000000}"/>
    <cellStyle name="40% - Accent5 2 2 2" xfId="142" xr:uid="{00000000-0005-0000-0000-000068000000}"/>
    <cellStyle name="40% - Accent5 2 2 3" xfId="143" xr:uid="{00000000-0005-0000-0000-000069000000}"/>
    <cellStyle name="40% - Accent5 2 3" xfId="144" xr:uid="{00000000-0005-0000-0000-00006A000000}"/>
    <cellStyle name="40% - Accent5 2 4" xfId="145" xr:uid="{00000000-0005-0000-0000-00006B000000}"/>
    <cellStyle name="40% - Accent5 3" xfId="146" xr:uid="{00000000-0005-0000-0000-00006C000000}"/>
    <cellStyle name="40% - Accent5 3 2" xfId="147" xr:uid="{00000000-0005-0000-0000-00006D000000}"/>
    <cellStyle name="40% - Accent5 3 3" xfId="148" xr:uid="{00000000-0005-0000-0000-00006E000000}"/>
    <cellStyle name="40% - Accent6" xfId="42" builtinId="51" customBuiltin="1"/>
    <cellStyle name="40% - Accent6 2" xfId="149" xr:uid="{00000000-0005-0000-0000-00006F000000}"/>
    <cellStyle name="40% - Accent6 2 2" xfId="150" xr:uid="{00000000-0005-0000-0000-000070000000}"/>
    <cellStyle name="40% - Accent6 2 2 2" xfId="151" xr:uid="{00000000-0005-0000-0000-000071000000}"/>
    <cellStyle name="40% - Accent6 2 2 3" xfId="152" xr:uid="{00000000-0005-0000-0000-000072000000}"/>
    <cellStyle name="40% - Accent6 2 3" xfId="153" xr:uid="{00000000-0005-0000-0000-000073000000}"/>
    <cellStyle name="40% - Accent6 2 4" xfId="154" xr:uid="{00000000-0005-0000-0000-000074000000}"/>
    <cellStyle name="40% - Accent6 3" xfId="155" xr:uid="{00000000-0005-0000-0000-000075000000}"/>
    <cellStyle name="40% - Accent6 3 2" xfId="156" xr:uid="{00000000-0005-0000-0000-000076000000}"/>
    <cellStyle name="40% - Accent6 3 3" xfId="157" xr:uid="{00000000-0005-0000-0000-000077000000}"/>
    <cellStyle name="40% - 輔色1 2" xfId="158" xr:uid="{00000000-0005-0000-0000-00007E000000}"/>
    <cellStyle name="40% - 輔色2 2" xfId="159" xr:uid="{00000000-0005-0000-0000-00007F000000}"/>
    <cellStyle name="40% - 輔色3 2" xfId="160" xr:uid="{00000000-0005-0000-0000-000080000000}"/>
    <cellStyle name="40% - 輔色4 2" xfId="161" xr:uid="{00000000-0005-0000-0000-000081000000}"/>
    <cellStyle name="40% - 輔色5 2" xfId="162" xr:uid="{00000000-0005-0000-0000-000082000000}"/>
    <cellStyle name="40% - 輔色6 2" xfId="163" xr:uid="{00000000-0005-0000-0000-000083000000}"/>
    <cellStyle name="60% - Accent1" xfId="23" builtinId="32" customBuiltin="1"/>
    <cellStyle name="60% - Accent1 2" xfId="164" xr:uid="{00000000-0005-0000-0000-000084000000}"/>
    <cellStyle name="60% - Accent1 2 2" xfId="165" xr:uid="{00000000-0005-0000-0000-000085000000}"/>
    <cellStyle name="60% - Accent1 2 3" xfId="166" xr:uid="{00000000-0005-0000-0000-000086000000}"/>
    <cellStyle name="60% - Accent1 3" xfId="167" xr:uid="{00000000-0005-0000-0000-000087000000}"/>
    <cellStyle name="60% - Accent1 3 2" xfId="168" xr:uid="{00000000-0005-0000-0000-000088000000}"/>
    <cellStyle name="60% - Accent1 3 3" xfId="169" xr:uid="{00000000-0005-0000-0000-000089000000}"/>
    <cellStyle name="60% - Accent2" xfId="27" builtinId="36" customBuiltin="1"/>
    <cellStyle name="60% - Accent2 2" xfId="170" xr:uid="{00000000-0005-0000-0000-00008A000000}"/>
    <cellStyle name="60% - Accent2 2 2" xfId="171" xr:uid="{00000000-0005-0000-0000-00008B000000}"/>
    <cellStyle name="60% - Accent2 2 3" xfId="172" xr:uid="{00000000-0005-0000-0000-00008C000000}"/>
    <cellStyle name="60% - Accent2 3" xfId="173" xr:uid="{00000000-0005-0000-0000-00008D000000}"/>
    <cellStyle name="60% - Accent2 3 2" xfId="174" xr:uid="{00000000-0005-0000-0000-00008E000000}"/>
    <cellStyle name="60% - Accent2 3 3" xfId="175" xr:uid="{00000000-0005-0000-0000-00008F000000}"/>
    <cellStyle name="60% - Accent3" xfId="31" builtinId="40" customBuiltin="1"/>
    <cellStyle name="60% - Accent3 2" xfId="176" xr:uid="{00000000-0005-0000-0000-000090000000}"/>
    <cellStyle name="60% - Accent3 2 2" xfId="177" xr:uid="{00000000-0005-0000-0000-000091000000}"/>
    <cellStyle name="60% - Accent3 2 3" xfId="178" xr:uid="{00000000-0005-0000-0000-000092000000}"/>
    <cellStyle name="60% - Accent3 3" xfId="179" xr:uid="{00000000-0005-0000-0000-000093000000}"/>
    <cellStyle name="60% - Accent3 3 2" xfId="180" xr:uid="{00000000-0005-0000-0000-000094000000}"/>
    <cellStyle name="60% - Accent3 3 3" xfId="181" xr:uid="{00000000-0005-0000-0000-000095000000}"/>
    <cellStyle name="60% - Accent4" xfId="35" builtinId="44" customBuiltin="1"/>
    <cellStyle name="60% - Accent4 2" xfId="182" xr:uid="{00000000-0005-0000-0000-000096000000}"/>
    <cellStyle name="60% - Accent4 2 2" xfId="183" xr:uid="{00000000-0005-0000-0000-000097000000}"/>
    <cellStyle name="60% - Accent4 2 3" xfId="184" xr:uid="{00000000-0005-0000-0000-000098000000}"/>
    <cellStyle name="60% - Accent4 3" xfId="185" xr:uid="{00000000-0005-0000-0000-000099000000}"/>
    <cellStyle name="60% - Accent4 3 2" xfId="186" xr:uid="{00000000-0005-0000-0000-00009A000000}"/>
    <cellStyle name="60% - Accent4 3 3" xfId="187" xr:uid="{00000000-0005-0000-0000-00009B000000}"/>
    <cellStyle name="60% - Accent5" xfId="39" builtinId="48" customBuiltin="1"/>
    <cellStyle name="60% - Accent5 2" xfId="188" xr:uid="{00000000-0005-0000-0000-00009C000000}"/>
    <cellStyle name="60% - Accent5 2 2" xfId="189" xr:uid="{00000000-0005-0000-0000-00009D000000}"/>
    <cellStyle name="60% - Accent5 2 3" xfId="190" xr:uid="{00000000-0005-0000-0000-00009E000000}"/>
    <cellStyle name="60% - Accent5 3" xfId="191" xr:uid="{00000000-0005-0000-0000-00009F000000}"/>
    <cellStyle name="60% - Accent5 3 2" xfId="192" xr:uid="{00000000-0005-0000-0000-0000A0000000}"/>
    <cellStyle name="60% - Accent5 3 3" xfId="193" xr:uid="{00000000-0005-0000-0000-0000A1000000}"/>
    <cellStyle name="60% - Accent6" xfId="43" builtinId="52" customBuiltin="1"/>
    <cellStyle name="60% - Accent6 2" xfId="194" xr:uid="{00000000-0005-0000-0000-0000A2000000}"/>
    <cellStyle name="60% - Accent6 2 2" xfId="195" xr:uid="{00000000-0005-0000-0000-0000A3000000}"/>
    <cellStyle name="60% - Accent6 2 3" xfId="196" xr:uid="{00000000-0005-0000-0000-0000A4000000}"/>
    <cellStyle name="60% - Accent6 3" xfId="197" xr:uid="{00000000-0005-0000-0000-0000A5000000}"/>
    <cellStyle name="60% - Accent6 3 2" xfId="198" xr:uid="{00000000-0005-0000-0000-0000A6000000}"/>
    <cellStyle name="60% - Accent6 3 3" xfId="199" xr:uid="{00000000-0005-0000-0000-0000A7000000}"/>
    <cellStyle name="Accent1" xfId="20" builtinId="29" customBuiltin="1"/>
    <cellStyle name="Accent1 2" xfId="200" xr:uid="{00000000-0005-0000-0000-0000AE000000}"/>
    <cellStyle name="Accent1 2 2" xfId="201" xr:uid="{00000000-0005-0000-0000-0000AF000000}"/>
    <cellStyle name="Accent1 2 3" xfId="202" xr:uid="{00000000-0005-0000-0000-0000B0000000}"/>
    <cellStyle name="Accent1 3" xfId="203" xr:uid="{00000000-0005-0000-0000-0000B1000000}"/>
    <cellStyle name="Accent1 3 2" xfId="204" xr:uid="{00000000-0005-0000-0000-0000B2000000}"/>
    <cellStyle name="Accent1 3 3" xfId="205" xr:uid="{00000000-0005-0000-0000-0000B3000000}"/>
    <cellStyle name="Accent2" xfId="24" builtinId="33" customBuiltin="1"/>
    <cellStyle name="Accent2 2" xfId="206" xr:uid="{00000000-0005-0000-0000-0000B4000000}"/>
    <cellStyle name="Accent2 2 2" xfId="207" xr:uid="{00000000-0005-0000-0000-0000B5000000}"/>
    <cellStyle name="Accent2 2 3" xfId="208" xr:uid="{00000000-0005-0000-0000-0000B6000000}"/>
    <cellStyle name="Accent2 3" xfId="209" xr:uid="{00000000-0005-0000-0000-0000B7000000}"/>
    <cellStyle name="Accent2 3 2" xfId="210" xr:uid="{00000000-0005-0000-0000-0000B8000000}"/>
    <cellStyle name="Accent2 3 3" xfId="211" xr:uid="{00000000-0005-0000-0000-0000B9000000}"/>
    <cellStyle name="Accent3" xfId="28" builtinId="37" customBuiltin="1"/>
    <cellStyle name="Accent3 2" xfId="212" xr:uid="{00000000-0005-0000-0000-0000BA000000}"/>
    <cellStyle name="Accent3 2 2" xfId="213" xr:uid="{00000000-0005-0000-0000-0000BB000000}"/>
    <cellStyle name="Accent3 2 3" xfId="214" xr:uid="{00000000-0005-0000-0000-0000BC000000}"/>
    <cellStyle name="Accent3 3" xfId="215" xr:uid="{00000000-0005-0000-0000-0000BD000000}"/>
    <cellStyle name="Accent3 3 2" xfId="216" xr:uid="{00000000-0005-0000-0000-0000BE000000}"/>
    <cellStyle name="Accent3 3 3" xfId="217" xr:uid="{00000000-0005-0000-0000-0000BF000000}"/>
    <cellStyle name="Accent4" xfId="32" builtinId="41" customBuiltin="1"/>
    <cellStyle name="Accent4 2" xfId="218" xr:uid="{00000000-0005-0000-0000-0000C0000000}"/>
    <cellStyle name="Accent4 2 2" xfId="219" xr:uid="{00000000-0005-0000-0000-0000C1000000}"/>
    <cellStyle name="Accent4 2 3" xfId="220" xr:uid="{00000000-0005-0000-0000-0000C2000000}"/>
    <cellStyle name="Accent4 3" xfId="221" xr:uid="{00000000-0005-0000-0000-0000C3000000}"/>
    <cellStyle name="Accent4 3 2" xfId="222" xr:uid="{00000000-0005-0000-0000-0000C4000000}"/>
    <cellStyle name="Accent4 3 3" xfId="223" xr:uid="{00000000-0005-0000-0000-0000C5000000}"/>
    <cellStyle name="Accent5" xfId="36" builtinId="45" customBuiltin="1"/>
    <cellStyle name="Accent5 2" xfId="224" xr:uid="{00000000-0005-0000-0000-0000C6000000}"/>
    <cellStyle name="Accent5 2 2" xfId="225" xr:uid="{00000000-0005-0000-0000-0000C7000000}"/>
    <cellStyle name="Accent5 2 3" xfId="226" xr:uid="{00000000-0005-0000-0000-0000C8000000}"/>
    <cellStyle name="Accent5 3" xfId="227" xr:uid="{00000000-0005-0000-0000-0000C9000000}"/>
    <cellStyle name="Accent5 3 2" xfId="228" xr:uid="{00000000-0005-0000-0000-0000CA000000}"/>
    <cellStyle name="Accent5 3 3" xfId="229" xr:uid="{00000000-0005-0000-0000-0000CB000000}"/>
    <cellStyle name="Accent6" xfId="40" builtinId="49" customBuiltin="1"/>
    <cellStyle name="Accent6 2" xfId="230" xr:uid="{00000000-0005-0000-0000-0000CC000000}"/>
    <cellStyle name="Accent6 2 2" xfId="231" xr:uid="{00000000-0005-0000-0000-0000CD000000}"/>
    <cellStyle name="Accent6 2 3" xfId="232" xr:uid="{00000000-0005-0000-0000-0000CE000000}"/>
    <cellStyle name="Accent6 3" xfId="233" xr:uid="{00000000-0005-0000-0000-0000CF000000}"/>
    <cellStyle name="Accent6 3 2" xfId="234" xr:uid="{00000000-0005-0000-0000-0000D0000000}"/>
    <cellStyle name="Accent6 3 3" xfId="235" xr:uid="{00000000-0005-0000-0000-0000D1000000}"/>
    <cellStyle name="Anlagenspiegel" xfId="236" xr:uid="{00000000-0005-0000-0000-0000D3000000}"/>
    <cellStyle name="Bad" xfId="10" builtinId="27" customBuiltin="1"/>
    <cellStyle name="Bad 2" xfId="237" xr:uid="{00000000-0005-0000-0000-0000D4000000}"/>
    <cellStyle name="Bad 2 2" xfId="238" xr:uid="{00000000-0005-0000-0000-0000D5000000}"/>
    <cellStyle name="Bad 2 3" xfId="239" xr:uid="{00000000-0005-0000-0000-0000D6000000}"/>
    <cellStyle name="Bad 3" xfId="240" xr:uid="{00000000-0005-0000-0000-0000D7000000}"/>
    <cellStyle name="Bad 3 2" xfId="241" xr:uid="{00000000-0005-0000-0000-0000D8000000}"/>
    <cellStyle name="Bad 3 3" xfId="242" xr:uid="{00000000-0005-0000-0000-0000D9000000}"/>
    <cellStyle name="Calculation" xfId="14" builtinId="22" customBuiltin="1"/>
    <cellStyle name="Calculation 2" xfId="243" xr:uid="{00000000-0005-0000-0000-0000DB000000}"/>
    <cellStyle name="Calculation 2 2" xfId="244" xr:uid="{00000000-0005-0000-0000-0000DC000000}"/>
    <cellStyle name="Calculation 2 3" xfId="245" xr:uid="{00000000-0005-0000-0000-0000DD000000}"/>
    <cellStyle name="Calculation 3" xfId="246" xr:uid="{00000000-0005-0000-0000-0000DE000000}"/>
    <cellStyle name="Calculation 3 2" xfId="247" xr:uid="{00000000-0005-0000-0000-0000DF000000}"/>
    <cellStyle name="Calculation 3 3" xfId="248" xr:uid="{00000000-0005-0000-0000-0000E0000000}"/>
    <cellStyle name="Check Cell" xfId="16" builtinId="23" customBuiltin="1"/>
    <cellStyle name="Check Cell 2" xfId="249" xr:uid="{00000000-0005-0000-0000-0000E3000000}"/>
    <cellStyle name="Check Cell 2 2" xfId="250" xr:uid="{00000000-0005-0000-0000-0000E4000000}"/>
    <cellStyle name="Check Cell 2 3" xfId="251" xr:uid="{00000000-0005-0000-0000-0000E5000000}"/>
    <cellStyle name="Check Cell 3" xfId="252" xr:uid="{00000000-0005-0000-0000-0000E6000000}"/>
    <cellStyle name="Check Cell 3 2" xfId="253" xr:uid="{00000000-0005-0000-0000-0000E7000000}"/>
    <cellStyle name="Check Cell 3 3" xfId="254" xr:uid="{00000000-0005-0000-0000-0000E8000000}"/>
    <cellStyle name="Comma" xfId="1" builtinId="3"/>
    <cellStyle name="Comma 2" xfId="255" xr:uid="{00000000-0005-0000-0000-0000E9000000}"/>
    <cellStyle name="Comma 2 10" xfId="256" xr:uid="{00000000-0005-0000-0000-0000EA000000}"/>
    <cellStyle name="Comma 2 11" xfId="257" xr:uid="{00000000-0005-0000-0000-0000EB000000}"/>
    <cellStyle name="Comma 2 12" xfId="258" xr:uid="{00000000-0005-0000-0000-0000EC000000}"/>
    <cellStyle name="Comma 2 13" xfId="259" xr:uid="{00000000-0005-0000-0000-0000ED000000}"/>
    <cellStyle name="Comma 2 14" xfId="260" xr:uid="{00000000-0005-0000-0000-0000EE000000}"/>
    <cellStyle name="Comma 2 15" xfId="261" xr:uid="{00000000-0005-0000-0000-0000EF000000}"/>
    <cellStyle name="Comma 2 16" xfId="262" xr:uid="{00000000-0005-0000-0000-0000F0000000}"/>
    <cellStyle name="Comma 2 17" xfId="263" xr:uid="{00000000-0005-0000-0000-0000F1000000}"/>
    <cellStyle name="Comma 2 2" xfId="264" xr:uid="{00000000-0005-0000-0000-0000F2000000}"/>
    <cellStyle name="Comma 2 3" xfId="265" xr:uid="{00000000-0005-0000-0000-0000F3000000}"/>
    <cellStyle name="Comma 2 4" xfId="266" xr:uid="{00000000-0005-0000-0000-0000F4000000}"/>
    <cellStyle name="Comma 2 5" xfId="267" xr:uid="{00000000-0005-0000-0000-0000F5000000}"/>
    <cellStyle name="Comma 2 6" xfId="268" xr:uid="{00000000-0005-0000-0000-0000F6000000}"/>
    <cellStyle name="Comma 2 7" xfId="269" xr:uid="{00000000-0005-0000-0000-0000F7000000}"/>
    <cellStyle name="Comma 2 8" xfId="270" xr:uid="{00000000-0005-0000-0000-0000F8000000}"/>
    <cellStyle name="Comma 2 9" xfId="271" xr:uid="{00000000-0005-0000-0000-0000F9000000}"/>
    <cellStyle name="Comma 3" xfId="272" xr:uid="{00000000-0005-0000-0000-0000FA000000}"/>
    <cellStyle name="Comma 4" xfId="273" xr:uid="{00000000-0005-0000-0000-0000FB000000}"/>
    <cellStyle name="Comma 5" xfId="274" xr:uid="{00000000-0005-0000-0000-0000FC000000}"/>
    <cellStyle name="Currency" xfId="2" builtinId="4"/>
    <cellStyle name="Currency 2" xfId="275" xr:uid="{00000000-0005-0000-0000-0000FE000000}"/>
    <cellStyle name="Currency 2 10" xfId="276" xr:uid="{00000000-0005-0000-0000-0000FF000000}"/>
    <cellStyle name="Currency 2 11" xfId="277" xr:uid="{00000000-0005-0000-0000-000000010000}"/>
    <cellStyle name="Currency 2 12" xfId="278" xr:uid="{00000000-0005-0000-0000-000001010000}"/>
    <cellStyle name="Currency 2 13" xfId="279" xr:uid="{00000000-0005-0000-0000-000002010000}"/>
    <cellStyle name="Currency 2 2" xfId="280" xr:uid="{00000000-0005-0000-0000-000003010000}"/>
    <cellStyle name="Currency 2 3" xfId="281" xr:uid="{00000000-0005-0000-0000-000004010000}"/>
    <cellStyle name="Currency 2 4" xfId="282" xr:uid="{00000000-0005-0000-0000-000005010000}"/>
    <cellStyle name="Currency 2 5" xfId="283" xr:uid="{00000000-0005-0000-0000-000006010000}"/>
    <cellStyle name="Currency 2 6" xfId="284" xr:uid="{00000000-0005-0000-0000-000007010000}"/>
    <cellStyle name="Currency 2 7" xfId="285" xr:uid="{00000000-0005-0000-0000-000008010000}"/>
    <cellStyle name="Currency 2 8" xfId="286" xr:uid="{00000000-0005-0000-0000-000009010000}"/>
    <cellStyle name="Currency 2 9" xfId="287" xr:uid="{00000000-0005-0000-0000-00000A010000}"/>
    <cellStyle name="Datum" xfId="288" xr:uid="{00000000-0005-0000-0000-00000B010000}"/>
    <cellStyle name="Datum 2" xfId="289" xr:uid="{00000000-0005-0000-0000-00000C010000}"/>
    <cellStyle name="Datum 2 2" xfId="290" xr:uid="{00000000-0005-0000-0000-00000D010000}"/>
    <cellStyle name="Datum 2 3" xfId="291" xr:uid="{00000000-0005-0000-0000-00000E010000}"/>
    <cellStyle name="Datum 2 4" xfId="292" xr:uid="{00000000-0005-0000-0000-00000F010000}"/>
    <cellStyle name="Datum 2 5" xfId="293" xr:uid="{00000000-0005-0000-0000-000010010000}"/>
    <cellStyle name="Datum 2 6" xfId="294" xr:uid="{00000000-0005-0000-0000-000011010000}"/>
    <cellStyle name="Datum 2 6 2" xfId="295" xr:uid="{00000000-0005-0000-0000-000012010000}"/>
    <cellStyle name="Datum 2 7" xfId="296" xr:uid="{00000000-0005-0000-0000-000013010000}"/>
    <cellStyle name="Datum 2 7 2" xfId="801" xr:uid="{00000000-0005-0000-0000-000014010000}"/>
    <cellStyle name="Datum 3" xfId="297" xr:uid="{00000000-0005-0000-0000-000015010000}"/>
    <cellStyle name="Datum 3 2" xfId="298" xr:uid="{00000000-0005-0000-0000-000016010000}"/>
    <cellStyle name="Datum 3 3" xfId="299" xr:uid="{00000000-0005-0000-0000-000017010000}"/>
    <cellStyle name="Datum 3 4" xfId="300" xr:uid="{00000000-0005-0000-0000-000018010000}"/>
    <cellStyle name="Datum 4" xfId="301" xr:uid="{00000000-0005-0000-0000-000019010000}"/>
    <cellStyle name="Datum 4 2" xfId="302" xr:uid="{00000000-0005-0000-0000-00001A010000}"/>
    <cellStyle name="Datum 4 3" xfId="303" xr:uid="{00000000-0005-0000-0000-00001B010000}"/>
    <cellStyle name="Datum 4 3 2" xfId="304" xr:uid="{00000000-0005-0000-0000-00001C010000}"/>
    <cellStyle name="Datum 4 4" xfId="305" xr:uid="{00000000-0005-0000-0000-00001D010000}"/>
    <cellStyle name="Datum 4 4 2" xfId="798" xr:uid="{00000000-0005-0000-0000-00001E010000}"/>
    <cellStyle name="Euro" xfId="306" xr:uid="{00000000-0005-0000-0000-00002A010000}"/>
    <cellStyle name="Euro 10" xfId="307" xr:uid="{00000000-0005-0000-0000-00002B010000}"/>
    <cellStyle name="Euro 10 2" xfId="308" xr:uid="{00000000-0005-0000-0000-00002C010000}"/>
    <cellStyle name="Euro 10 2 2" xfId="309" xr:uid="{00000000-0005-0000-0000-00002D010000}"/>
    <cellStyle name="Euro 10 2 2 2" xfId="310" xr:uid="{00000000-0005-0000-0000-00002E010000}"/>
    <cellStyle name="Euro 10 2 2 2 2" xfId="311" xr:uid="{00000000-0005-0000-0000-00002F010000}"/>
    <cellStyle name="Euro 10 2 2 2 2 2" xfId="312" xr:uid="{00000000-0005-0000-0000-000030010000}"/>
    <cellStyle name="Euro 10 2 2 3" xfId="313" xr:uid="{00000000-0005-0000-0000-000031010000}"/>
    <cellStyle name="Euro 10 2 2 3 2" xfId="314" xr:uid="{00000000-0005-0000-0000-000032010000}"/>
    <cellStyle name="Euro 10 2 2 4" xfId="315" xr:uid="{00000000-0005-0000-0000-000033010000}"/>
    <cellStyle name="Euro 10 2 3" xfId="316" xr:uid="{00000000-0005-0000-0000-000034010000}"/>
    <cellStyle name="Euro 10 2 3 2" xfId="317" xr:uid="{00000000-0005-0000-0000-000035010000}"/>
    <cellStyle name="Euro 10 2 4" xfId="318" xr:uid="{00000000-0005-0000-0000-000036010000}"/>
    <cellStyle name="Euro 10 2 4 2" xfId="319" xr:uid="{00000000-0005-0000-0000-000037010000}"/>
    <cellStyle name="Euro 10 2 5" xfId="320" xr:uid="{00000000-0005-0000-0000-000038010000}"/>
    <cellStyle name="Euro 10 3" xfId="321" xr:uid="{00000000-0005-0000-0000-000039010000}"/>
    <cellStyle name="Euro 10 3 2" xfId="322" xr:uid="{00000000-0005-0000-0000-00003A010000}"/>
    <cellStyle name="Euro 10 4" xfId="323" xr:uid="{00000000-0005-0000-0000-00003B010000}"/>
    <cellStyle name="Euro 10 4 2" xfId="324" xr:uid="{00000000-0005-0000-0000-00003C010000}"/>
    <cellStyle name="Euro 10 4 3" xfId="325" xr:uid="{00000000-0005-0000-0000-00003D010000}"/>
    <cellStyle name="Euro 10 4 4" xfId="326" xr:uid="{00000000-0005-0000-0000-00003E010000}"/>
    <cellStyle name="Euro 10 5" xfId="327" xr:uid="{00000000-0005-0000-0000-00003F010000}"/>
    <cellStyle name="Euro 10 6" xfId="328" xr:uid="{00000000-0005-0000-0000-000040010000}"/>
    <cellStyle name="Euro 10 6 2" xfId="329" xr:uid="{00000000-0005-0000-0000-000041010000}"/>
    <cellStyle name="Euro 10 7" xfId="330" xr:uid="{00000000-0005-0000-0000-000042010000}"/>
    <cellStyle name="Euro 11" xfId="331" xr:uid="{00000000-0005-0000-0000-000043010000}"/>
    <cellStyle name="Euro 11 2" xfId="332" xr:uid="{00000000-0005-0000-0000-000044010000}"/>
    <cellStyle name="Euro 12" xfId="333" xr:uid="{00000000-0005-0000-0000-000045010000}"/>
    <cellStyle name="Euro 12 2" xfId="334" xr:uid="{00000000-0005-0000-0000-000046010000}"/>
    <cellStyle name="Euro 12 3" xfId="335" xr:uid="{00000000-0005-0000-0000-000047010000}"/>
    <cellStyle name="Euro 12 4" xfId="336" xr:uid="{00000000-0005-0000-0000-000048010000}"/>
    <cellStyle name="Euro 13" xfId="337" xr:uid="{00000000-0005-0000-0000-000049010000}"/>
    <cellStyle name="Euro 13 2" xfId="338" xr:uid="{00000000-0005-0000-0000-00004A010000}"/>
    <cellStyle name="Euro 13 3" xfId="339" xr:uid="{00000000-0005-0000-0000-00004B010000}"/>
    <cellStyle name="Euro 13 4" xfId="340" xr:uid="{00000000-0005-0000-0000-00004C010000}"/>
    <cellStyle name="Euro 13 5" xfId="808" xr:uid="{00000000-0005-0000-0000-00004D010000}"/>
    <cellStyle name="Euro 14" xfId="341" xr:uid="{00000000-0005-0000-0000-00004E010000}"/>
    <cellStyle name="Euro 14 2" xfId="342" xr:uid="{00000000-0005-0000-0000-00004F010000}"/>
    <cellStyle name="Euro 14 3" xfId="343" xr:uid="{00000000-0005-0000-0000-000050010000}"/>
    <cellStyle name="Euro 14 4" xfId="812" xr:uid="{00000000-0005-0000-0000-000051010000}"/>
    <cellStyle name="Euro 15" xfId="344" xr:uid="{00000000-0005-0000-0000-000052010000}"/>
    <cellStyle name="Euro 15 2" xfId="345" xr:uid="{00000000-0005-0000-0000-000053010000}"/>
    <cellStyle name="Euro 15 2 2" xfId="346" xr:uid="{00000000-0005-0000-0000-000054010000}"/>
    <cellStyle name="Euro 15 2 2 2" xfId="347" xr:uid="{00000000-0005-0000-0000-000055010000}"/>
    <cellStyle name="Euro 15 3" xfId="348" xr:uid="{00000000-0005-0000-0000-000056010000}"/>
    <cellStyle name="Euro 15 3 2" xfId="349" xr:uid="{00000000-0005-0000-0000-000057010000}"/>
    <cellStyle name="Euro 15 4" xfId="350" xr:uid="{00000000-0005-0000-0000-000058010000}"/>
    <cellStyle name="Euro 16" xfId="351" xr:uid="{00000000-0005-0000-0000-000059010000}"/>
    <cellStyle name="Euro 16 2" xfId="352" xr:uid="{00000000-0005-0000-0000-00005A010000}"/>
    <cellStyle name="Euro 17" xfId="353" xr:uid="{00000000-0005-0000-0000-00005B010000}"/>
    <cellStyle name="Euro 17 2" xfId="354" xr:uid="{00000000-0005-0000-0000-00005C010000}"/>
    <cellStyle name="Euro 18" xfId="355" xr:uid="{00000000-0005-0000-0000-00005D010000}"/>
    <cellStyle name="Euro 19" xfId="356" xr:uid="{00000000-0005-0000-0000-00005E010000}"/>
    <cellStyle name="Euro 19 2" xfId="357" xr:uid="{00000000-0005-0000-0000-00005F010000}"/>
    <cellStyle name="Euro 19 3" xfId="820" xr:uid="{00000000-0005-0000-0000-000060010000}"/>
    <cellStyle name="Euro 2" xfId="358" xr:uid="{00000000-0005-0000-0000-000061010000}"/>
    <cellStyle name="Euro 2 10" xfId="359" xr:uid="{00000000-0005-0000-0000-000062010000}"/>
    <cellStyle name="Euro 2 2" xfId="360" xr:uid="{00000000-0005-0000-0000-000063010000}"/>
    <cellStyle name="Euro 2 2 2" xfId="361" xr:uid="{00000000-0005-0000-0000-000064010000}"/>
    <cellStyle name="Euro 2 2 2 2" xfId="362" xr:uid="{00000000-0005-0000-0000-000065010000}"/>
    <cellStyle name="Euro 2 2 2 3" xfId="363" xr:uid="{00000000-0005-0000-0000-000066010000}"/>
    <cellStyle name="Euro 2 2 3" xfId="364" xr:uid="{00000000-0005-0000-0000-000067010000}"/>
    <cellStyle name="Euro 2 3" xfId="365" xr:uid="{00000000-0005-0000-0000-000068010000}"/>
    <cellStyle name="Euro 2 4" xfId="366" xr:uid="{00000000-0005-0000-0000-000069010000}"/>
    <cellStyle name="Euro 2 5" xfId="367" xr:uid="{00000000-0005-0000-0000-00006A010000}"/>
    <cellStyle name="Euro 2 5 2" xfId="368" xr:uid="{00000000-0005-0000-0000-00006B010000}"/>
    <cellStyle name="Euro 2 5 2 2" xfId="369" xr:uid="{00000000-0005-0000-0000-00006C010000}"/>
    <cellStyle name="Euro 2 6" xfId="370" xr:uid="{00000000-0005-0000-0000-00006D010000}"/>
    <cellStyle name="Euro 2 6 2" xfId="371" xr:uid="{00000000-0005-0000-0000-00006E010000}"/>
    <cellStyle name="Euro 2 6 3" xfId="372" xr:uid="{00000000-0005-0000-0000-00006F010000}"/>
    <cellStyle name="Euro 2 7" xfId="373" xr:uid="{00000000-0005-0000-0000-000070010000}"/>
    <cellStyle name="Euro 2 8" xfId="374" xr:uid="{00000000-0005-0000-0000-000071010000}"/>
    <cellStyle name="Euro 2 9" xfId="375" xr:uid="{00000000-0005-0000-0000-000072010000}"/>
    <cellStyle name="Euro 3" xfId="376" xr:uid="{00000000-0005-0000-0000-000073010000}"/>
    <cellStyle name="Euro 4" xfId="377" xr:uid="{00000000-0005-0000-0000-000074010000}"/>
    <cellStyle name="Euro 5" xfId="378" xr:uid="{00000000-0005-0000-0000-000075010000}"/>
    <cellStyle name="Euro 6" xfId="379" xr:uid="{00000000-0005-0000-0000-000076010000}"/>
    <cellStyle name="Euro 7" xfId="380" xr:uid="{00000000-0005-0000-0000-000077010000}"/>
    <cellStyle name="Euro 8" xfId="381" xr:uid="{00000000-0005-0000-0000-000078010000}"/>
    <cellStyle name="Euro 9" xfId="382" xr:uid="{00000000-0005-0000-0000-000079010000}"/>
    <cellStyle name="Explanatory Text" xfId="18" builtinId="53" customBuiltin="1"/>
    <cellStyle name="Explanatory Text 2" xfId="383" xr:uid="{00000000-0005-0000-0000-00007A010000}"/>
    <cellStyle name="Explanatory Text 2 2" xfId="384" xr:uid="{00000000-0005-0000-0000-00007B010000}"/>
    <cellStyle name="Explanatory Text 2 3" xfId="385" xr:uid="{00000000-0005-0000-0000-00007C010000}"/>
    <cellStyle name="Explanatory Text 3" xfId="386" xr:uid="{00000000-0005-0000-0000-00007D010000}"/>
    <cellStyle name="Explanatory Text 3 2" xfId="387" xr:uid="{00000000-0005-0000-0000-00007E010000}"/>
    <cellStyle name="Explanatory Text 3 3" xfId="388" xr:uid="{00000000-0005-0000-0000-00007F010000}"/>
    <cellStyle name="Fat line" xfId="389" xr:uid="{00000000-0005-0000-0000-000081010000}"/>
    <cellStyle name="Fat line 2" xfId="390" xr:uid="{00000000-0005-0000-0000-000082010000}"/>
    <cellStyle name="Fat line 2 2" xfId="391" xr:uid="{00000000-0005-0000-0000-000083010000}"/>
    <cellStyle name="Fat line 2 3" xfId="392" xr:uid="{00000000-0005-0000-0000-000084010000}"/>
    <cellStyle name="Fat line 2 4" xfId="393" xr:uid="{00000000-0005-0000-0000-000085010000}"/>
    <cellStyle name="Fat line 2 5" xfId="811" xr:uid="{00000000-0005-0000-0000-000086010000}"/>
    <cellStyle name="Fat line 3" xfId="394" xr:uid="{00000000-0005-0000-0000-000087010000}"/>
    <cellStyle name="Fat line 3 2" xfId="395" xr:uid="{00000000-0005-0000-0000-000088010000}"/>
    <cellStyle name="Fat line 3 3" xfId="396" xr:uid="{00000000-0005-0000-0000-000089010000}"/>
    <cellStyle name="Fat line 3 4" xfId="397" xr:uid="{00000000-0005-0000-0000-00008A010000}"/>
    <cellStyle name="Fat line 4" xfId="398" xr:uid="{00000000-0005-0000-0000-00008B010000}"/>
    <cellStyle name="Fat line 4 2" xfId="399" xr:uid="{00000000-0005-0000-0000-00008C010000}"/>
    <cellStyle name="Fat line 4 3" xfId="817" xr:uid="{00000000-0005-0000-0000-00008D010000}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Good" xfId="9" builtinId="26" customBuiltin="1"/>
    <cellStyle name="Good 2" xfId="400" xr:uid="{00000000-0005-0000-0000-00008E010000}"/>
    <cellStyle name="Good 2 2" xfId="401" xr:uid="{00000000-0005-0000-0000-00008F010000}"/>
    <cellStyle name="Good 2 3" xfId="402" xr:uid="{00000000-0005-0000-0000-000090010000}"/>
    <cellStyle name="Good 3" xfId="403" xr:uid="{00000000-0005-0000-0000-000091010000}"/>
    <cellStyle name="Good 3 2" xfId="404" xr:uid="{00000000-0005-0000-0000-000092010000}"/>
    <cellStyle name="Good 3 3" xfId="405" xr:uid="{00000000-0005-0000-0000-000093010000}"/>
    <cellStyle name="Heading 1" xfId="5" builtinId="16" customBuiltin="1"/>
    <cellStyle name="Heading 1 2" xfId="406" xr:uid="{00000000-0005-0000-0000-000094010000}"/>
    <cellStyle name="Heading 1 2 2" xfId="407" xr:uid="{00000000-0005-0000-0000-000095010000}"/>
    <cellStyle name="Heading 1 2 3" xfId="408" xr:uid="{00000000-0005-0000-0000-000096010000}"/>
    <cellStyle name="Heading 1 3" xfId="409" xr:uid="{00000000-0005-0000-0000-000097010000}"/>
    <cellStyle name="Heading 1 3 2" xfId="410" xr:uid="{00000000-0005-0000-0000-000098010000}"/>
    <cellStyle name="Heading 1 3 3" xfId="411" xr:uid="{00000000-0005-0000-0000-000099010000}"/>
    <cellStyle name="Heading 2" xfId="6" builtinId="17" customBuiltin="1"/>
    <cellStyle name="Heading 2 2" xfId="412" xr:uid="{00000000-0005-0000-0000-00009A010000}"/>
    <cellStyle name="Heading 2 2 2" xfId="413" xr:uid="{00000000-0005-0000-0000-00009B010000}"/>
    <cellStyle name="Heading 2 2 3" xfId="414" xr:uid="{00000000-0005-0000-0000-00009C010000}"/>
    <cellStyle name="Heading 2 3" xfId="415" xr:uid="{00000000-0005-0000-0000-00009D010000}"/>
    <cellStyle name="Heading 2 3 2" xfId="416" xr:uid="{00000000-0005-0000-0000-00009E010000}"/>
    <cellStyle name="Heading 2 3 3" xfId="417" xr:uid="{00000000-0005-0000-0000-00009F010000}"/>
    <cellStyle name="Heading 3" xfId="7" builtinId="18" customBuiltin="1"/>
    <cellStyle name="Heading 3 2" xfId="418" xr:uid="{00000000-0005-0000-0000-0000A0010000}"/>
    <cellStyle name="Heading 3 2 2" xfId="419" xr:uid="{00000000-0005-0000-0000-0000A1010000}"/>
    <cellStyle name="Heading 3 2 3" xfId="420" xr:uid="{00000000-0005-0000-0000-0000A2010000}"/>
    <cellStyle name="Heading 3 3" xfId="421" xr:uid="{00000000-0005-0000-0000-0000A3010000}"/>
    <cellStyle name="Heading 3 3 2" xfId="422" xr:uid="{00000000-0005-0000-0000-0000A4010000}"/>
    <cellStyle name="Heading 3 3 3" xfId="423" xr:uid="{00000000-0005-0000-0000-0000A5010000}"/>
    <cellStyle name="Heading 4" xfId="8" builtinId="19" customBuiltin="1"/>
    <cellStyle name="Heading 4 2" xfId="424" xr:uid="{00000000-0005-0000-0000-0000A6010000}"/>
    <cellStyle name="Heading 4 2 2" xfId="425" xr:uid="{00000000-0005-0000-0000-0000A7010000}"/>
    <cellStyle name="Heading 4 2 3" xfId="426" xr:uid="{00000000-0005-0000-0000-0000A8010000}"/>
    <cellStyle name="Heading 4 3" xfId="427" xr:uid="{00000000-0005-0000-0000-0000A9010000}"/>
    <cellStyle name="Heading 4 3 2" xfId="428" xr:uid="{00000000-0005-0000-0000-0000AA010000}"/>
    <cellStyle name="Heading 4 3 3" xfId="429" xr:uid="{00000000-0005-0000-0000-0000AB010000}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 2" xfId="430" xr:uid="{00000000-0005-0000-0000-00000A020000}"/>
    <cellStyle name="Hyperlink 3" xfId="431" xr:uid="{00000000-0005-0000-0000-00000B020000}"/>
    <cellStyle name="Input" xfId="12" builtinId="20" customBuiltin="1"/>
    <cellStyle name="Input 2" xfId="432" xr:uid="{00000000-0005-0000-0000-00000D020000}"/>
    <cellStyle name="Input 2 2" xfId="433" xr:uid="{00000000-0005-0000-0000-00000E020000}"/>
    <cellStyle name="Input 2 3" xfId="434" xr:uid="{00000000-0005-0000-0000-00000F020000}"/>
    <cellStyle name="Input 3" xfId="435" xr:uid="{00000000-0005-0000-0000-000010020000}"/>
    <cellStyle name="Input 3 2" xfId="436" xr:uid="{00000000-0005-0000-0000-000011020000}"/>
    <cellStyle name="Input 3 3" xfId="437" xr:uid="{00000000-0005-0000-0000-000012020000}"/>
    <cellStyle name="Komma 2" xfId="438" xr:uid="{00000000-0005-0000-0000-000013020000}"/>
    <cellStyle name="Komma 3" xfId="439" xr:uid="{00000000-0005-0000-0000-000014020000}"/>
    <cellStyle name="Komma 4" xfId="440" xr:uid="{00000000-0005-0000-0000-000015020000}"/>
    <cellStyle name="Linked Cell" xfId="15" builtinId="24" customBuiltin="1"/>
    <cellStyle name="Linked Cell 2" xfId="441" xr:uid="{00000000-0005-0000-0000-000016020000}"/>
    <cellStyle name="Linked Cell 2 2" xfId="442" xr:uid="{00000000-0005-0000-0000-000017020000}"/>
    <cellStyle name="Linked Cell 2 3" xfId="443" xr:uid="{00000000-0005-0000-0000-000018020000}"/>
    <cellStyle name="Linked Cell 3" xfId="444" xr:uid="{00000000-0005-0000-0000-000019020000}"/>
    <cellStyle name="Linked Cell 3 2" xfId="445" xr:uid="{00000000-0005-0000-0000-00001A020000}"/>
    <cellStyle name="Linked Cell 3 3" xfId="446" xr:uid="{00000000-0005-0000-0000-00001B020000}"/>
    <cellStyle name="masag" xfId="447" xr:uid="{00000000-0005-0000-0000-00001C020000}"/>
    <cellStyle name="masag 2" xfId="448" xr:uid="{00000000-0005-0000-0000-00001D020000}"/>
    <cellStyle name="masag 2 2" xfId="449" xr:uid="{00000000-0005-0000-0000-00001E020000}"/>
    <cellStyle name="masag 2 3" xfId="450" xr:uid="{00000000-0005-0000-0000-00001F020000}"/>
    <cellStyle name="masag 2 4" xfId="451" xr:uid="{00000000-0005-0000-0000-000020020000}"/>
    <cellStyle name="masag 2 5" xfId="810" xr:uid="{00000000-0005-0000-0000-000021020000}"/>
    <cellStyle name="masag 3" xfId="452" xr:uid="{00000000-0005-0000-0000-000022020000}"/>
    <cellStyle name="masag 3 2" xfId="453" xr:uid="{00000000-0005-0000-0000-000023020000}"/>
    <cellStyle name="masag 3 3" xfId="454" xr:uid="{00000000-0005-0000-0000-000024020000}"/>
    <cellStyle name="masag 3 4" xfId="455" xr:uid="{00000000-0005-0000-0000-000025020000}"/>
    <cellStyle name="masag 4" xfId="456" xr:uid="{00000000-0005-0000-0000-000026020000}"/>
    <cellStyle name="masag 4 2" xfId="457" xr:uid="{00000000-0005-0000-0000-000027020000}"/>
    <cellStyle name="masag 4 3" xfId="819" xr:uid="{00000000-0005-0000-0000-000028020000}"/>
    <cellStyle name="memo" xfId="458" xr:uid="{00000000-0005-0000-0000-000029020000}"/>
    <cellStyle name="Migliaia (0)_FluxTresoMaquette2003new" xfId="459" xr:uid="{00000000-0005-0000-0000-00002A020000}"/>
    <cellStyle name="Millares 2" xfId="460" xr:uid="{00000000-0005-0000-0000-00002C020000}"/>
    <cellStyle name="Millares 3" xfId="461" xr:uid="{00000000-0005-0000-0000-00002D020000}"/>
    <cellStyle name="Millares 4" xfId="462" xr:uid="{00000000-0005-0000-0000-00002E020000}"/>
    <cellStyle name="Moneda 2" xfId="463" xr:uid="{00000000-0005-0000-0000-000030020000}"/>
    <cellStyle name="Neutral" xfId="11" builtinId="28" customBuiltin="1"/>
    <cellStyle name="Neutral 2" xfId="464" xr:uid="{00000000-0005-0000-0000-000032020000}"/>
    <cellStyle name="Neutral 2 2" xfId="465" xr:uid="{00000000-0005-0000-0000-000033020000}"/>
    <cellStyle name="Neutral 2 3" xfId="466" xr:uid="{00000000-0005-0000-0000-000034020000}"/>
    <cellStyle name="Neutral 3" xfId="467" xr:uid="{00000000-0005-0000-0000-000035020000}"/>
    <cellStyle name="Neutral 3 2" xfId="468" xr:uid="{00000000-0005-0000-0000-000036020000}"/>
    <cellStyle name="Neutral 3 3" xfId="469" xr:uid="{00000000-0005-0000-0000-000037020000}"/>
    <cellStyle name="Normal" xfId="0" builtinId="0"/>
    <cellStyle name="Normal 10" xfId="470" xr:uid="{00000000-0005-0000-0000-000039020000}"/>
    <cellStyle name="Normal 11" xfId="471" xr:uid="{00000000-0005-0000-0000-00003A020000}"/>
    <cellStyle name="Normal 12" xfId="472" xr:uid="{00000000-0005-0000-0000-00003B020000}"/>
    <cellStyle name="Normal 12 2" xfId="473" xr:uid="{00000000-0005-0000-0000-00003C020000}"/>
    <cellStyle name="Normal 12 3" xfId="821" xr:uid="{00000000-0005-0000-0000-00003D020000}"/>
    <cellStyle name="Normal 13" xfId="474" xr:uid="{00000000-0005-0000-0000-00003E020000}"/>
    <cellStyle name="Normal 13 2" xfId="475" xr:uid="{00000000-0005-0000-0000-00003F020000}"/>
    <cellStyle name="Normal 13 3" xfId="476" xr:uid="{00000000-0005-0000-0000-000040020000}"/>
    <cellStyle name="Normal 2" xfId="477" xr:uid="{00000000-0005-0000-0000-000041020000}"/>
    <cellStyle name="Normal 2 10" xfId="478" xr:uid="{00000000-0005-0000-0000-000042020000}"/>
    <cellStyle name="Normal 2 11" xfId="479" xr:uid="{00000000-0005-0000-0000-000043020000}"/>
    <cellStyle name="Normal 2 12" xfId="480" xr:uid="{00000000-0005-0000-0000-000044020000}"/>
    <cellStyle name="Normal 2 13" xfId="481" xr:uid="{00000000-0005-0000-0000-000045020000}"/>
    <cellStyle name="Normal 2 14" xfId="482" xr:uid="{00000000-0005-0000-0000-000046020000}"/>
    <cellStyle name="Normal 2 15" xfId="483" xr:uid="{00000000-0005-0000-0000-000047020000}"/>
    <cellStyle name="Normal 2 16" xfId="484" xr:uid="{00000000-0005-0000-0000-000048020000}"/>
    <cellStyle name="Normal 2 17" xfId="485" xr:uid="{00000000-0005-0000-0000-000049020000}"/>
    <cellStyle name="Normal 2 18" xfId="486" xr:uid="{00000000-0005-0000-0000-00004A020000}"/>
    <cellStyle name="Normal 2 19" xfId="487" xr:uid="{00000000-0005-0000-0000-00004B020000}"/>
    <cellStyle name="Normal 2 2" xfId="488" xr:uid="{00000000-0005-0000-0000-00004C020000}"/>
    <cellStyle name="Normal 2 2 2" xfId="489" xr:uid="{00000000-0005-0000-0000-00004D020000}"/>
    <cellStyle name="Normal 2 2 2 2" xfId="490" xr:uid="{00000000-0005-0000-0000-00004E020000}"/>
    <cellStyle name="Normal 2 3" xfId="491" xr:uid="{00000000-0005-0000-0000-00004F020000}"/>
    <cellStyle name="Normal 2 3 2" xfId="492" xr:uid="{00000000-0005-0000-0000-000050020000}"/>
    <cellStyle name="Normal 2 4" xfId="493" xr:uid="{00000000-0005-0000-0000-000051020000}"/>
    <cellStyle name="Normal 2 5" xfId="494" xr:uid="{00000000-0005-0000-0000-000052020000}"/>
    <cellStyle name="Normal 2 5 2" xfId="495" xr:uid="{00000000-0005-0000-0000-000053020000}"/>
    <cellStyle name="Normal 2 6" xfId="496" xr:uid="{00000000-0005-0000-0000-000054020000}"/>
    <cellStyle name="Normal 2 6 2" xfId="497" xr:uid="{00000000-0005-0000-0000-000055020000}"/>
    <cellStyle name="Normal 2 7" xfId="498" xr:uid="{00000000-0005-0000-0000-000056020000}"/>
    <cellStyle name="Normal 2 8" xfId="499" xr:uid="{00000000-0005-0000-0000-000057020000}"/>
    <cellStyle name="Normal 2 9" xfId="500" xr:uid="{00000000-0005-0000-0000-000058020000}"/>
    <cellStyle name="Normal 3" xfId="501" xr:uid="{00000000-0005-0000-0000-000059020000}"/>
    <cellStyle name="Normal 3 10" xfId="502" xr:uid="{00000000-0005-0000-0000-00005A020000}"/>
    <cellStyle name="Normal 3 11" xfId="503" xr:uid="{00000000-0005-0000-0000-00005B020000}"/>
    <cellStyle name="Normal 3 12" xfId="504" xr:uid="{00000000-0005-0000-0000-00005C020000}"/>
    <cellStyle name="Normal 3 13" xfId="505" xr:uid="{00000000-0005-0000-0000-00005D020000}"/>
    <cellStyle name="Normal 3 14" xfId="506" xr:uid="{00000000-0005-0000-0000-00005E020000}"/>
    <cellStyle name="Normal 3 15" xfId="507" xr:uid="{00000000-0005-0000-0000-00005F020000}"/>
    <cellStyle name="Normal 3 16" xfId="508" xr:uid="{00000000-0005-0000-0000-000060020000}"/>
    <cellStyle name="Normal 3 17" xfId="509" xr:uid="{00000000-0005-0000-0000-000061020000}"/>
    <cellStyle name="Normal 3 2" xfId="510" xr:uid="{00000000-0005-0000-0000-000062020000}"/>
    <cellStyle name="Normal 3 2 2" xfId="511" xr:uid="{00000000-0005-0000-0000-000063020000}"/>
    <cellStyle name="Normal 3 2 2 2" xfId="512" xr:uid="{00000000-0005-0000-0000-000064020000}"/>
    <cellStyle name="Normal 3 2 2 2 2" xfId="513" xr:uid="{00000000-0005-0000-0000-000065020000}"/>
    <cellStyle name="Normal 3 2 2 2 3" xfId="514" xr:uid="{00000000-0005-0000-0000-000066020000}"/>
    <cellStyle name="Normal 3 2 2 2 4" xfId="515" xr:uid="{00000000-0005-0000-0000-000067020000}"/>
    <cellStyle name="Normal 3 2 2 3" xfId="516" xr:uid="{00000000-0005-0000-0000-000068020000}"/>
    <cellStyle name="Normal 3 2 3" xfId="517" xr:uid="{00000000-0005-0000-0000-000069020000}"/>
    <cellStyle name="Normal 3 2 3 2" xfId="518" xr:uid="{00000000-0005-0000-0000-00006A020000}"/>
    <cellStyle name="Normal 3 2 3 3" xfId="519" xr:uid="{00000000-0005-0000-0000-00006B020000}"/>
    <cellStyle name="Normal 3 2 4" xfId="520" xr:uid="{00000000-0005-0000-0000-00006C020000}"/>
    <cellStyle name="Normal 3 2 5" xfId="521" xr:uid="{00000000-0005-0000-0000-00006D020000}"/>
    <cellStyle name="Normal 3 3" xfId="522" xr:uid="{00000000-0005-0000-0000-00006E020000}"/>
    <cellStyle name="Normal 3 3 2" xfId="523" xr:uid="{00000000-0005-0000-0000-00006F020000}"/>
    <cellStyle name="Normal 3 3 2 2" xfId="524" xr:uid="{00000000-0005-0000-0000-000070020000}"/>
    <cellStyle name="Normal 3 3 2 3" xfId="525" xr:uid="{00000000-0005-0000-0000-000071020000}"/>
    <cellStyle name="Normal 3 3 2 4" xfId="526" xr:uid="{00000000-0005-0000-0000-000072020000}"/>
    <cellStyle name="Normal 3 3 2 5" xfId="527" xr:uid="{00000000-0005-0000-0000-000073020000}"/>
    <cellStyle name="Normal 3 3 3" xfId="528" xr:uid="{00000000-0005-0000-0000-000074020000}"/>
    <cellStyle name="Normal 3 3 3 2" xfId="529" xr:uid="{00000000-0005-0000-0000-000075020000}"/>
    <cellStyle name="Normal 3 3 3 3" xfId="530" xr:uid="{00000000-0005-0000-0000-000076020000}"/>
    <cellStyle name="Normal 3 4" xfId="531" xr:uid="{00000000-0005-0000-0000-000077020000}"/>
    <cellStyle name="Normal 3 4 2" xfId="532" xr:uid="{00000000-0005-0000-0000-000078020000}"/>
    <cellStyle name="Normal 3 4 2 2" xfId="533" xr:uid="{00000000-0005-0000-0000-000079020000}"/>
    <cellStyle name="Normal 3 4 2 3" xfId="534" xr:uid="{00000000-0005-0000-0000-00007A020000}"/>
    <cellStyle name="Normal 3 4 2 4" xfId="535" xr:uid="{00000000-0005-0000-0000-00007B020000}"/>
    <cellStyle name="Normal 3 4 2 5" xfId="536" xr:uid="{00000000-0005-0000-0000-00007C020000}"/>
    <cellStyle name="Normal 3 4 3" xfId="537" xr:uid="{00000000-0005-0000-0000-00007D020000}"/>
    <cellStyle name="Normal 3 4 3 2" xfId="538" xr:uid="{00000000-0005-0000-0000-00007E020000}"/>
    <cellStyle name="Normal 3 4 3 3" xfId="539" xr:uid="{00000000-0005-0000-0000-00007F020000}"/>
    <cellStyle name="Normal 3 5" xfId="540" xr:uid="{00000000-0005-0000-0000-000080020000}"/>
    <cellStyle name="Normal 3 5 2" xfId="541" xr:uid="{00000000-0005-0000-0000-000081020000}"/>
    <cellStyle name="Normal 3 5 2 2" xfId="542" xr:uid="{00000000-0005-0000-0000-000082020000}"/>
    <cellStyle name="Normal 3 5 2 3" xfId="543" xr:uid="{00000000-0005-0000-0000-000083020000}"/>
    <cellStyle name="Normal 3 5 2 4" xfId="544" xr:uid="{00000000-0005-0000-0000-000084020000}"/>
    <cellStyle name="Normal 3 5 2 5" xfId="545" xr:uid="{00000000-0005-0000-0000-000085020000}"/>
    <cellStyle name="Normal 3 5 3" xfId="546" xr:uid="{00000000-0005-0000-0000-000086020000}"/>
    <cellStyle name="Normal 3 5 3 2" xfId="547" xr:uid="{00000000-0005-0000-0000-000087020000}"/>
    <cellStyle name="Normal 3 5 3 3" xfId="548" xr:uid="{00000000-0005-0000-0000-000088020000}"/>
    <cellStyle name="Normal 3 6" xfId="549" xr:uid="{00000000-0005-0000-0000-000089020000}"/>
    <cellStyle name="Normal 3 6 2" xfId="550" xr:uid="{00000000-0005-0000-0000-00008A020000}"/>
    <cellStyle name="Normal 3 6 2 2" xfId="551" xr:uid="{00000000-0005-0000-0000-00008B020000}"/>
    <cellStyle name="Normal 3 6 2 3" xfId="552" xr:uid="{00000000-0005-0000-0000-00008C020000}"/>
    <cellStyle name="Normal 3 6 3" xfId="553" xr:uid="{00000000-0005-0000-0000-00008D020000}"/>
    <cellStyle name="Normal 3 6 3 2" xfId="554" xr:uid="{00000000-0005-0000-0000-00008E020000}"/>
    <cellStyle name="Normal 3 6 3 3" xfId="555" xr:uid="{00000000-0005-0000-0000-00008F020000}"/>
    <cellStyle name="Normal 3 7" xfId="556" xr:uid="{00000000-0005-0000-0000-000090020000}"/>
    <cellStyle name="Normal 3 8" xfId="557" xr:uid="{00000000-0005-0000-0000-000091020000}"/>
    <cellStyle name="Normal 3 9" xfId="558" xr:uid="{00000000-0005-0000-0000-000092020000}"/>
    <cellStyle name="Normal 3_DoboGER" xfId="559" xr:uid="{00000000-0005-0000-0000-000093020000}"/>
    <cellStyle name="Normal 4" xfId="560" xr:uid="{00000000-0005-0000-0000-000094020000}"/>
    <cellStyle name="Normal 4 2" xfId="561" xr:uid="{00000000-0005-0000-0000-000095020000}"/>
    <cellStyle name="Normal 4 2 2" xfId="562" xr:uid="{00000000-0005-0000-0000-000096020000}"/>
    <cellStyle name="Normal 4 2 2 2" xfId="828" xr:uid="{00000000-0005-0000-0000-000097020000}"/>
    <cellStyle name="Normal 4 3" xfId="563" xr:uid="{00000000-0005-0000-0000-000098020000}"/>
    <cellStyle name="Normal 4 3 2" xfId="564" xr:uid="{00000000-0005-0000-0000-000099020000}"/>
    <cellStyle name="Normal 4 3 2 2" xfId="830" xr:uid="{00000000-0005-0000-0000-00009A020000}"/>
    <cellStyle name="Normal 4 4" xfId="565" xr:uid="{00000000-0005-0000-0000-00009B020000}"/>
    <cellStyle name="Normal 4 4 2" xfId="566" xr:uid="{00000000-0005-0000-0000-00009C020000}"/>
    <cellStyle name="Normal 4 5" xfId="567" xr:uid="{00000000-0005-0000-0000-00009D020000}"/>
    <cellStyle name="Normal 4 5 2" xfId="568" xr:uid="{00000000-0005-0000-0000-00009E020000}"/>
    <cellStyle name="Normal 4 6" xfId="818" xr:uid="{00000000-0005-0000-0000-00009F020000}"/>
    <cellStyle name="Normal 5" xfId="569" xr:uid="{00000000-0005-0000-0000-0000A0020000}"/>
    <cellStyle name="Normal 5 10" xfId="570" xr:uid="{00000000-0005-0000-0000-0000A1020000}"/>
    <cellStyle name="Normal 5 10 2" xfId="571" xr:uid="{00000000-0005-0000-0000-0000A2020000}"/>
    <cellStyle name="Normal 5 10 3" xfId="826" xr:uid="{00000000-0005-0000-0000-0000A3020000}"/>
    <cellStyle name="Normal 5 11" xfId="572" xr:uid="{00000000-0005-0000-0000-0000A4020000}"/>
    <cellStyle name="Normal 5 12" xfId="573" xr:uid="{00000000-0005-0000-0000-0000A5020000}"/>
    <cellStyle name="Normal 5 2" xfId="574" xr:uid="{00000000-0005-0000-0000-0000A6020000}"/>
    <cellStyle name="Normal 5 2 2" xfId="575" xr:uid="{00000000-0005-0000-0000-0000A7020000}"/>
    <cellStyle name="Normal 5 2 2 2" xfId="576" xr:uid="{00000000-0005-0000-0000-0000A8020000}"/>
    <cellStyle name="Normal 5 2 2 3" xfId="829" xr:uid="{00000000-0005-0000-0000-0000A9020000}"/>
    <cellStyle name="Normal 5 3" xfId="577" xr:uid="{00000000-0005-0000-0000-0000AA020000}"/>
    <cellStyle name="Normal 5 3 2" xfId="578" xr:uid="{00000000-0005-0000-0000-0000AB020000}"/>
    <cellStyle name="Normal 5 3 2 2" xfId="579" xr:uid="{00000000-0005-0000-0000-0000AC020000}"/>
    <cellStyle name="Normal 5 3 2 3" xfId="831" xr:uid="{00000000-0005-0000-0000-0000AD020000}"/>
    <cellStyle name="Normal 5 4" xfId="580" xr:uid="{00000000-0005-0000-0000-0000AE020000}"/>
    <cellStyle name="Normal 5 5" xfId="581" xr:uid="{00000000-0005-0000-0000-0000AF020000}"/>
    <cellStyle name="Normal 5 5 2" xfId="582" xr:uid="{00000000-0005-0000-0000-0000B0020000}"/>
    <cellStyle name="Normal 5 5 3" xfId="824" xr:uid="{00000000-0005-0000-0000-0000B1020000}"/>
    <cellStyle name="Normal 5 6" xfId="583" xr:uid="{00000000-0005-0000-0000-0000B2020000}"/>
    <cellStyle name="Normal 5 6 2" xfId="584" xr:uid="{00000000-0005-0000-0000-0000B3020000}"/>
    <cellStyle name="Normal 5 6 3" xfId="823" xr:uid="{00000000-0005-0000-0000-0000B4020000}"/>
    <cellStyle name="Normal 5 7" xfId="585" xr:uid="{00000000-0005-0000-0000-0000B5020000}"/>
    <cellStyle name="Normal 5 7 2" xfId="586" xr:uid="{00000000-0005-0000-0000-0000B6020000}"/>
    <cellStyle name="Normal 5 7 3" xfId="822" xr:uid="{00000000-0005-0000-0000-0000B7020000}"/>
    <cellStyle name="Normal 5 8" xfId="587" xr:uid="{00000000-0005-0000-0000-0000B8020000}"/>
    <cellStyle name="Normal 5 8 2" xfId="588" xr:uid="{00000000-0005-0000-0000-0000B9020000}"/>
    <cellStyle name="Normal 5 8 3" xfId="825" xr:uid="{00000000-0005-0000-0000-0000BA020000}"/>
    <cellStyle name="Normal 5 9" xfId="589" xr:uid="{00000000-0005-0000-0000-0000BB020000}"/>
    <cellStyle name="Normal 5 9 2" xfId="590" xr:uid="{00000000-0005-0000-0000-0000BC020000}"/>
    <cellStyle name="Normal 5 9 3" xfId="827" xr:uid="{00000000-0005-0000-0000-0000BD020000}"/>
    <cellStyle name="Normal 6" xfId="591" xr:uid="{00000000-0005-0000-0000-0000BE020000}"/>
    <cellStyle name="Normal 7" xfId="592" xr:uid="{00000000-0005-0000-0000-0000BF020000}"/>
    <cellStyle name="Normal 8" xfId="593" xr:uid="{00000000-0005-0000-0000-0000C0020000}"/>
    <cellStyle name="Normal 9" xfId="594" xr:uid="{00000000-0005-0000-0000-0000C1020000}"/>
    <cellStyle name="Normale_FluxTresoMaquette2002" xfId="595" xr:uid="{00000000-0005-0000-0000-0000C2020000}"/>
    <cellStyle name="Note 2" xfId="596" xr:uid="{00000000-0005-0000-0000-0000C3020000}"/>
    <cellStyle name="Note 2 2" xfId="597" xr:uid="{00000000-0005-0000-0000-0000C4020000}"/>
    <cellStyle name="Note 2 2 2" xfId="598" xr:uid="{00000000-0005-0000-0000-0000C5020000}"/>
    <cellStyle name="Note 2 2 3" xfId="599" xr:uid="{00000000-0005-0000-0000-0000C6020000}"/>
    <cellStyle name="Note 2 2 4" xfId="600" xr:uid="{00000000-0005-0000-0000-0000C7020000}"/>
    <cellStyle name="Note 2 3" xfId="601" xr:uid="{00000000-0005-0000-0000-0000C8020000}"/>
    <cellStyle name="Note 2 3 2" xfId="602" xr:uid="{00000000-0005-0000-0000-0000C9020000}"/>
    <cellStyle name="Note 2 4" xfId="603" xr:uid="{00000000-0005-0000-0000-0000CA020000}"/>
    <cellStyle name="Note 2 5" xfId="604" xr:uid="{00000000-0005-0000-0000-0000CB020000}"/>
    <cellStyle name="Note 3" xfId="605" xr:uid="{00000000-0005-0000-0000-0000CC020000}"/>
    <cellStyle name="Note 3 2" xfId="606" xr:uid="{00000000-0005-0000-0000-0000CD020000}"/>
    <cellStyle name="Note 3 2 2" xfId="607" xr:uid="{00000000-0005-0000-0000-0000CE020000}"/>
    <cellStyle name="Note 3 2 3" xfId="608" xr:uid="{00000000-0005-0000-0000-0000CF020000}"/>
    <cellStyle name="Note 3 2 4" xfId="609" xr:uid="{00000000-0005-0000-0000-0000D0020000}"/>
    <cellStyle name="Note 3 3" xfId="610" xr:uid="{00000000-0005-0000-0000-0000D1020000}"/>
    <cellStyle name="Note 3 3 2" xfId="611" xr:uid="{00000000-0005-0000-0000-0000D2020000}"/>
    <cellStyle name="Note 3 4" xfId="612" xr:uid="{00000000-0005-0000-0000-0000D3020000}"/>
    <cellStyle name="Note 3 5" xfId="613" xr:uid="{00000000-0005-0000-0000-0000D4020000}"/>
    <cellStyle name="Note 4" xfId="614" xr:uid="{00000000-0005-0000-0000-0000D5020000}"/>
    <cellStyle name="Note 4 2" xfId="615" xr:uid="{00000000-0005-0000-0000-0000D6020000}"/>
    <cellStyle name="Note 4 2 2" xfId="616" xr:uid="{00000000-0005-0000-0000-0000D7020000}"/>
    <cellStyle name="Note 4 3" xfId="617" xr:uid="{00000000-0005-0000-0000-0000D8020000}"/>
    <cellStyle name="Note 4 4" xfId="618" xr:uid="{00000000-0005-0000-0000-0000D9020000}"/>
    <cellStyle name="Note 5" xfId="619" xr:uid="{00000000-0005-0000-0000-0000DA020000}"/>
    <cellStyle name="Note 5 2" xfId="620" xr:uid="{00000000-0005-0000-0000-0000DB020000}"/>
    <cellStyle name="Note 5 2 2" xfId="621" xr:uid="{00000000-0005-0000-0000-0000DC020000}"/>
    <cellStyle name="Note 5 3" xfId="622" xr:uid="{00000000-0005-0000-0000-0000DD020000}"/>
    <cellStyle name="Note 5 4" xfId="623" xr:uid="{00000000-0005-0000-0000-0000DE020000}"/>
    <cellStyle name="Note 6" xfId="624" xr:uid="{00000000-0005-0000-0000-0000DF020000}"/>
    <cellStyle name="Note 6 2" xfId="625" xr:uid="{00000000-0005-0000-0000-0000E0020000}"/>
    <cellStyle name="Note 6 3" xfId="626" xr:uid="{00000000-0005-0000-0000-0000E1020000}"/>
    <cellStyle name="Note 6 4" xfId="627" xr:uid="{00000000-0005-0000-0000-0000E2020000}"/>
    <cellStyle name="Output" xfId="13" builtinId="21" customBuiltin="1"/>
    <cellStyle name="Output 2" xfId="628" xr:uid="{00000000-0005-0000-0000-0000E3020000}"/>
    <cellStyle name="Output 2 2" xfId="629" xr:uid="{00000000-0005-0000-0000-0000E4020000}"/>
    <cellStyle name="Output 2 3" xfId="630" xr:uid="{00000000-0005-0000-0000-0000E5020000}"/>
    <cellStyle name="Output 3" xfId="631" xr:uid="{00000000-0005-0000-0000-0000E6020000}"/>
    <cellStyle name="Output 3 2" xfId="632" xr:uid="{00000000-0005-0000-0000-0000E7020000}"/>
    <cellStyle name="Output 3 3" xfId="633" xr:uid="{00000000-0005-0000-0000-0000E8020000}"/>
    <cellStyle name="Page header" xfId="634" xr:uid="{00000000-0005-0000-0000-0000E9020000}"/>
    <cellStyle name="Page header 2" xfId="635" xr:uid="{00000000-0005-0000-0000-0000EA020000}"/>
    <cellStyle name="Page header 2 2" xfId="636" xr:uid="{00000000-0005-0000-0000-0000EB020000}"/>
    <cellStyle name="Page header 2 3" xfId="637" xr:uid="{00000000-0005-0000-0000-0000EC020000}"/>
    <cellStyle name="Page header 2 4" xfId="638" xr:uid="{00000000-0005-0000-0000-0000ED020000}"/>
    <cellStyle name="Page header 2 5" xfId="807" xr:uid="{00000000-0005-0000-0000-0000EE020000}"/>
    <cellStyle name="Page header 3" xfId="639" xr:uid="{00000000-0005-0000-0000-0000EF020000}"/>
    <cellStyle name="Page header 3 2" xfId="640" xr:uid="{00000000-0005-0000-0000-0000F0020000}"/>
    <cellStyle name="Page header 3 3" xfId="641" xr:uid="{00000000-0005-0000-0000-0000F1020000}"/>
    <cellStyle name="Page header 3 4" xfId="642" xr:uid="{00000000-0005-0000-0000-0000F2020000}"/>
    <cellStyle name="Page header 4" xfId="643" xr:uid="{00000000-0005-0000-0000-0000F3020000}"/>
    <cellStyle name="Page header 4 2" xfId="644" xr:uid="{00000000-0005-0000-0000-0000F4020000}"/>
    <cellStyle name="Page header 4 3" xfId="816" xr:uid="{00000000-0005-0000-0000-0000F5020000}"/>
    <cellStyle name="Pageheader" xfId="645" xr:uid="{00000000-0005-0000-0000-0000F6020000}"/>
    <cellStyle name="Pageheader 2" xfId="646" xr:uid="{00000000-0005-0000-0000-0000F7020000}"/>
    <cellStyle name="Pageheader 2 2" xfId="647" xr:uid="{00000000-0005-0000-0000-0000F8020000}"/>
    <cellStyle name="Pageheader 2 3" xfId="648" xr:uid="{00000000-0005-0000-0000-0000F9020000}"/>
    <cellStyle name="Pageheader 2 4" xfId="649" xr:uid="{00000000-0005-0000-0000-0000FA020000}"/>
    <cellStyle name="Pageheader 2 5" xfId="809" xr:uid="{00000000-0005-0000-0000-0000FB020000}"/>
    <cellStyle name="Pageheader 3" xfId="650" xr:uid="{00000000-0005-0000-0000-0000FC020000}"/>
    <cellStyle name="Pageheader 3 2" xfId="651" xr:uid="{00000000-0005-0000-0000-0000FD020000}"/>
    <cellStyle name="Pageheader 3 3" xfId="652" xr:uid="{00000000-0005-0000-0000-0000FE020000}"/>
    <cellStyle name="Pageheader 3 4" xfId="653" xr:uid="{00000000-0005-0000-0000-0000FF020000}"/>
    <cellStyle name="Pageheader 4" xfId="654" xr:uid="{00000000-0005-0000-0000-000000030000}"/>
    <cellStyle name="Pageheader 4 2" xfId="655" xr:uid="{00000000-0005-0000-0000-000001030000}"/>
    <cellStyle name="Pageheader 4 3" xfId="815" xr:uid="{00000000-0005-0000-0000-000002030000}"/>
    <cellStyle name="Percent" xfId="3" builtinId="5"/>
    <cellStyle name="Percent 10" xfId="656" xr:uid="{00000000-0005-0000-0000-000003030000}"/>
    <cellStyle name="Percent 12" xfId="657" xr:uid="{00000000-0005-0000-0000-000004030000}"/>
    <cellStyle name="Percent 13" xfId="658" xr:uid="{00000000-0005-0000-0000-000005030000}"/>
    <cellStyle name="Percent 2 10" xfId="659" xr:uid="{00000000-0005-0000-0000-000006030000}"/>
    <cellStyle name="Percent 2 11" xfId="660" xr:uid="{00000000-0005-0000-0000-000007030000}"/>
    <cellStyle name="Percent 2 12" xfId="661" xr:uid="{00000000-0005-0000-0000-000008030000}"/>
    <cellStyle name="Percent 2 13" xfId="662" xr:uid="{00000000-0005-0000-0000-000009030000}"/>
    <cellStyle name="Percent 2 2" xfId="663" xr:uid="{00000000-0005-0000-0000-00000A030000}"/>
    <cellStyle name="Percent 2 3" xfId="664" xr:uid="{00000000-0005-0000-0000-00000B030000}"/>
    <cellStyle name="Percent 2 4" xfId="665" xr:uid="{00000000-0005-0000-0000-00000C030000}"/>
    <cellStyle name="Percent 2 5" xfId="666" xr:uid="{00000000-0005-0000-0000-00000D030000}"/>
    <cellStyle name="Percent 2 6" xfId="667" xr:uid="{00000000-0005-0000-0000-00000E030000}"/>
    <cellStyle name="Percent 2 7" xfId="668" xr:uid="{00000000-0005-0000-0000-00000F030000}"/>
    <cellStyle name="Percent 2 8" xfId="669" xr:uid="{00000000-0005-0000-0000-000010030000}"/>
    <cellStyle name="Percent 2 9" xfId="670" xr:uid="{00000000-0005-0000-0000-000011030000}"/>
    <cellStyle name="Percent 3" xfId="671" xr:uid="{00000000-0005-0000-0000-000012030000}"/>
    <cellStyle name="Percent 4" xfId="672" xr:uid="{00000000-0005-0000-0000-000013030000}"/>
    <cellStyle name="Porcentual 2" xfId="673" xr:uid="{00000000-0005-0000-0000-000015030000}"/>
    <cellStyle name="Procent 2" xfId="674" xr:uid="{00000000-0005-0000-0000-000016030000}"/>
    <cellStyle name="Standaard 2" xfId="675" xr:uid="{00000000-0005-0000-0000-000018030000}"/>
    <cellStyle name="Standaard 2 10" xfId="676" xr:uid="{00000000-0005-0000-0000-000019030000}"/>
    <cellStyle name="Standaard 2 10 2" xfId="677" xr:uid="{00000000-0005-0000-0000-00001A030000}"/>
    <cellStyle name="Standaard 2 10 3" xfId="678" xr:uid="{00000000-0005-0000-0000-00001B030000}"/>
    <cellStyle name="Standaard 2 11" xfId="679" xr:uid="{00000000-0005-0000-0000-00001C030000}"/>
    <cellStyle name="Standaard 2 12" xfId="680" xr:uid="{00000000-0005-0000-0000-00001D030000}"/>
    <cellStyle name="Standaard 2 13" xfId="681" xr:uid="{00000000-0005-0000-0000-00001E030000}"/>
    <cellStyle name="Standaard 2 2" xfId="682" xr:uid="{00000000-0005-0000-0000-00001F030000}"/>
    <cellStyle name="Standaard 2 2 2" xfId="683" xr:uid="{00000000-0005-0000-0000-000020030000}"/>
    <cellStyle name="Standaard 2 2 2 2" xfId="684" xr:uid="{00000000-0005-0000-0000-000021030000}"/>
    <cellStyle name="Standaard 2 2 2 3" xfId="685" xr:uid="{00000000-0005-0000-0000-000022030000}"/>
    <cellStyle name="Standaard 2 2 3" xfId="686" xr:uid="{00000000-0005-0000-0000-000023030000}"/>
    <cellStyle name="Standaard 2 2 3 2" xfId="687" xr:uid="{00000000-0005-0000-0000-000024030000}"/>
    <cellStyle name="Standaard 2 2 3 3" xfId="688" xr:uid="{00000000-0005-0000-0000-000025030000}"/>
    <cellStyle name="Standaard 2 2 4" xfId="689" xr:uid="{00000000-0005-0000-0000-000026030000}"/>
    <cellStyle name="Standaard 2 2 4 2" xfId="690" xr:uid="{00000000-0005-0000-0000-000027030000}"/>
    <cellStyle name="Standaard 2 2 4 3" xfId="691" xr:uid="{00000000-0005-0000-0000-000028030000}"/>
    <cellStyle name="Standaard 2 3" xfId="692" xr:uid="{00000000-0005-0000-0000-000029030000}"/>
    <cellStyle name="Standaard 2 3 2" xfId="693" xr:uid="{00000000-0005-0000-0000-00002A030000}"/>
    <cellStyle name="Standaard 2 3 3" xfId="694" xr:uid="{00000000-0005-0000-0000-00002B030000}"/>
    <cellStyle name="Standaard 2 4" xfId="695" xr:uid="{00000000-0005-0000-0000-00002C030000}"/>
    <cellStyle name="Standaard 2 4 2" xfId="696" xr:uid="{00000000-0005-0000-0000-00002D030000}"/>
    <cellStyle name="Standaard 2 4 3" xfId="697" xr:uid="{00000000-0005-0000-0000-00002E030000}"/>
    <cellStyle name="Standaard 2 5" xfId="698" xr:uid="{00000000-0005-0000-0000-00002F030000}"/>
    <cellStyle name="Standaard 2 5 2" xfId="699" xr:uid="{00000000-0005-0000-0000-000030030000}"/>
    <cellStyle name="Standaard 2 5 3" xfId="700" xr:uid="{00000000-0005-0000-0000-000031030000}"/>
    <cellStyle name="Standaard 2 6" xfId="701" xr:uid="{00000000-0005-0000-0000-000032030000}"/>
    <cellStyle name="Standaard 2 6 2" xfId="702" xr:uid="{00000000-0005-0000-0000-000033030000}"/>
    <cellStyle name="Standaard 2 6 3" xfId="703" xr:uid="{00000000-0005-0000-0000-000034030000}"/>
    <cellStyle name="Standaard 2 7" xfId="704" xr:uid="{00000000-0005-0000-0000-000035030000}"/>
    <cellStyle name="Standaard 2 7 2" xfId="705" xr:uid="{00000000-0005-0000-0000-000036030000}"/>
    <cellStyle name="Standaard 2 7 3" xfId="706" xr:uid="{00000000-0005-0000-0000-000037030000}"/>
    <cellStyle name="Standaard 2 8" xfId="707" xr:uid="{00000000-0005-0000-0000-000038030000}"/>
    <cellStyle name="Standaard 2 9" xfId="708" xr:uid="{00000000-0005-0000-0000-000039030000}"/>
    <cellStyle name="Standaard 2 9 2" xfId="709" xr:uid="{00000000-0005-0000-0000-00003A030000}"/>
    <cellStyle name="Standaard 2 9 3" xfId="710" xr:uid="{00000000-0005-0000-0000-00003B030000}"/>
    <cellStyle name="Standaard 2_Dobotex conso" xfId="711" xr:uid="{00000000-0005-0000-0000-00003C030000}"/>
    <cellStyle name="Standaard 3" xfId="712" xr:uid="{00000000-0005-0000-0000-00003D030000}"/>
    <cellStyle name="Standaard 4" xfId="713" xr:uid="{00000000-0005-0000-0000-00003E030000}"/>
    <cellStyle name="Standaard 4 2" xfId="714" xr:uid="{00000000-0005-0000-0000-00003F030000}"/>
    <cellStyle name="Standaard 5" xfId="715" xr:uid="{00000000-0005-0000-0000-000040030000}"/>
    <cellStyle name="Standaard 5 2" xfId="716" xr:uid="{00000000-0005-0000-0000-000041030000}"/>
    <cellStyle name="Standaard 6" xfId="717" xr:uid="{00000000-0005-0000-0000-000042030000}"/>
    <cellStyle name="Standaard 6 2" xfId="799" xr:uid="{00000000-0005-0000-0000-000043030000}"/>
    <cellStyle name="Standaard 7" xfId="718" xr:uid="{00000000-0005-0000-0000-000044030000}"/>
    <cellStyle name="Standaard 7 2" xfId="802" xr:uid="{00000000-0005-0000-0000-000045030000}"/>
    <cellStyle name="Standaard 8" xfId="719" xr:uid="{00000000-0005-0000-0000-000046030000}"/>
    <cellStyle name="Standaard 8 2" xfId="800" xr:uid="{00000000-0005-0000-0000-000047030000}"/>
    <cellStyle name="Standaard 9" xfId="720" xr:uid="{00000000-0005-0000-0000-000048030000}"/>
    <cellStyle name="Standaard 9 2" xfId="803" xr:uid="{00000000-0005-0000-0000-000049030000}"/>
    <cellStyle name="Standard_~4265822" xfId="721" xr:uid="{00000000-0005-0000-0000-00004A030000}"/>
    <cellStyle name="Table header" xfId="722" xr:uid="{00000000-0005-0000-0000-00004B030000}"/>
    <cellStyle name="Table header 2" xfId="723" xr:uid="{00000000-0005-0000-0000-00004C030000}"/>
    <cellStyle name="Table header 2 2" xfId="724" xr:uid="{00000000-0005-0000-0000-00004D030000}"/>
    <cellStyle name="Table header 2 3" xfId="725" xr:uid="{00000000-0005-0000-0000-00004E030000}"/>
    <cellStyle name="Table header 2 4" xfId="726" xr:uid="{00000000-0005-0000-0000-00004F030000}"/>
    <cellStyle name="Table header 2 5" xfId="806" xr:uid="{00000000-0005-0000-0000-000050030000}"/>
    <cellStyle name="Table header 3" xfId="727" xr:uid="{00000000-0005-0000-0000-000051030000}"/>
    <cellStyle name="Table header 3 2" xfId="728" xr:uid="{00000000-0005-0000-0000-000052030000}"/>
    <cellStyle name="Table header 3 3" xfId="729" xr:uid="{00000000-0005-0000-0000-000053030000}"/>
    <cellStyle name="Table header 3 4" xfId="730" xr:uid="{00000000-0005-0000-0000-000054030000}"/>
    <cellStyle name="Table header 4" xfId="731" xr:uid="{00000000-0005-0000-0000-000055030000}"/>
    <cellStyle name="Table header 4 2" xfId="732" xr:uid="{00000000-0005-0000-0000-000056030000}"/>
    <cellStyle name="Table header 4 3" xfId="814" xr:uid="{00000000-0005-0000-0000-000057030000}"/>
    <cellStyle name="Tableheader" xfId="733" xr:uid="{00000000-0005-0000-0000-000058030000}"/>
    <cellStyle name="Tableheader 2" xfId="734" xr:uid="{00000000-0005-0000-0000-000059030000}"/>
    <cellStyle name="Tableheader 2 2" xfId="735" xr:uid="{00000000-0005-0000-0000-00005A030000}"/>
    <cellStyle name="Tableheader 2 3" xfId="736" xr:uid="{00000000-0005-0000-0000-00005B030000}"/>
    <cellStyle name="Tableheader 2 4" xfId="737" xr:uid="{00000000-0005-0000-0000-00005C030000}"/>
    <cellStyle name="Tableheader 2 5" xfId="805" xr:uid="{00000000-0005-0000-0000-00005D030000}"/>
    <cellStyle name="Tableheader 3" xfId="738" xr:uid="{00000000-0005-0000-0000-00005E030000}"/>
    <cellStyle name="Tableheader 3 2" xfId="739" xr:uid="{00000000-0005-0000-0000-00005F030000}"/>
    <cellStyle name="Tableheader 3 3" xfId="740" xr:uid="{00000000-0005-0000-0000-000060030000}"/>
    <cellStyle name="Tableheader 3 4" xfId="741" xr:uid="{00000000-0005-0000-0000-000061030000}"/>
    <cellStyle name="Tableheader 4" xfId="742" xr:uid="{00000000-0005-0000-0000-000062030000}"/>
    <cellStyle name="Tableheader 4 2" xfId="743" xr:uid="{00000000-0005-0000-0000-000063030000}"/>
    <cellStyle name="Tableheader 4 3" xfId="813" xr:uid="{00000000-0005-0000-0000-000064030000}"/>
    <cellStyle name="Title" xfId="4" builtinId="15" customBuiltin="1"/>
    <cellStyle name="Title 2" xfId="744" xr:uid="{00000000-0005-0000-0000-000065030000}"/>
    <cellStyle name="Title 2 2" xfId="745" xr:uid="{00000000-0005-0000-0000-000066030000}"/>
    <cellStyle name="Title 2 3" xfId="746" xr:uid="{00000000-0005-0000-0000-000067030000}"/>
    <cellStyle name="Title 2 4" xfId="747" xr:uid="{00000000-0005-0000-0000-000068030000}"/>
    <cellStyle name="Title 3" xfId="748" xr:uid="{00000000-0005-0000-0000-000069030000}"/>
    <cellStyle name="Title 3 2" xfId="749" xr:uid="{00000000-0005-0000-0000-00006A030000}"/>
    <cellStyle name="Title 3 3" xfId="750" xr:uid="{00000000-0005-0000-0000-00006B030000}"/>
    <cellStyle name="Title 3 4" xfId="751" xr:uid="{00000000-0005-0000-0000-00006C030000}"/>
    <cellStyle name="Total" xfId="19" builtinId="25" customBuiltin="1"/>
    <cellStyle name="Total 2" xfId="752" xr:uid="{00000000-0005-0000-0000-00006F030000}"/>
    <cellStyle name="Total 2 2" xfId="753" xr:uid="{00000000-0005-0000-0000-000070030000}"/>
    <cellStyle name="Total 2 3" xfId="754" xr:uid="{00000000-0005-0000-0000-000071030000}"/>
    <cellStyle name="Total 3" xfId="755" xr:uid="{00000000-0005-0000-0000-000072030000}"/>
    <cellStyle name="Total 3 2" xfId="756" xr:uid="{00000000-0005-0000-0000-000073030000}"/>
    <cellStyle name="Total 3 3" xfId="757" xr:uid="{00000000-0005-0000-0000-000074030000}"/>
    <cellStyle name="Valuta (0)_FluxTresoMaquette2003new" xfId="758" xr:uid="{00000000-0005-0000-0000-000075030000}"/>
    <cellStyle name="Valuta 10" xfId="759" xr:uid="{00000000-0005-0000-0000-000076030000}"/>
    <cellStyle name="Valuta 11" xfId="760" xr:uid="{00000000-0005-0000-0000-000077030000}"/>
    <cellStyle name="Valuta 12" xfId="761" xr:uid="{00000000-0005-0000-0000-000078030000}"/>
    <cellStyle name="Valuta 13" xfId="762" xr:uid="{00000000-0005-0000-0000-000079030000}"/>
    <cellStyle name="Valuta 14" xfId="763" xr:uid="{00000000-0005-0000-0000-00007A030000}"/>
    <cellStyle name="Valuta 15" xfId="764" xr:uid="{00000000-0005-0000-0000-00007B030000}"/>
    <cellStyle name="Valuta 16" xfId="765" xr:uid="{00000000-0005-0000-0000-00007C030000}"/>
    <cellStyle name="Valuta 17" xfId="766" xr:uid="{00000000-0005-0000-0000-00007D030000}"/>
    <cellStyle name="Valuta 18" xfId="767" xr:uid="{00000000-0005-0000-0000-00007E030000}"/>
    <cellStyle name="Valuta 19" xfId="768" xr:uid="{00000000-0005-0000-0000-00007F030000}"/>
    <cellStyle name="Valuta 2" xfId="769" xr:uid="{00000000-0005-0000-0000-000080030000}"/>
    <cellStyle name="Valuta 20" xfId="770" xr:uid="{00000000-0005-0000-0000-000081030000}"/>
    <cellStyle name="Valuta 21" xfId="771" xr:uid="{00000000-0005-0000-0000-000082030000}"/>
    <cellStyle name="Valuta 22" xfId="772" xr:uid="{00000000-0005-0000-0000-000083030000}"/>
    <cellStyle name="Valuta 23" xfId="773" xr:uid="{00000000-0005-0000-0000-000084030000}"/>
    <cellStyle name="Valuta 24" xfId="774" xr:uid="{00000000-0005-0000-0000-000085030000}"/>
    <cellStyle name="Valuta 25" xfId="775" xr:uid="{00000000-0005-0000-0000-000086030000}"/>
    <cellStyle name="Valuta 26" xfId="776" xr:uid="{00000000-0005-0000-0000-000087030000}"/>
    <cellStyle name="Valuta 27" xfId="777" xr:uid="{00000000-0005-0000-0000-000088030000}"/>
    <cellStyle name="Valuta 28" xfId="778" xr:uid="{00000000-0005-0000-0000-000089030000}"/>
    <cellStyle name="Valuta 29" xfId="779" xr:uid="{00000000-0005-0000-0000-00008A030000}"/>
    <cellStyle name="Valuta 3" xfId="780" xr:uid="{00000000-0005-0000-0000-00008B030000}"/>
    <cellStyle name="Valuta 30" xfId="781" xr:uid="{00000000-0005-0000-0000-00008C030000}"/>
    <cellStyle name="Valuta 31" xfId="782" xr:uid="{00000000-0005-0000-0000-00008D030000}"/>
    <cellStyle name="Valuta 32" xfId="783" xr:uid="{00000000-0005-0000-0000-00008E030000}"/>
    <cellStyle name="Valuta 33" xfId="804" xr:uid="{00000000-0005-0000-0000-00008F030000}"/>
    <cellStyle name="Valuta 4" xfId="784" xr:uid="{00000000-0005-0000-0000-000090030000}"/>
    <cellStyle name="Valuta 5" xfId="785" xr:uid="{00000000-0005-0000-0000-000091030000}"/>
    <cellStyle name="Valuta 6" xfId="786" xr:uid="{00000000-0005-0000-0000-000092030000}"/>
    <cellStyle name="Valuta 7" xfId="787" xr:uid="{00000000-0005-0000-0000-000093030000}"/>
    <cellStyle name="Valuta 8" xfId="788" xr:uid="{00000000-0005-0000-0000-000094030000}"/>
    <cellStyle name="Valuta 9" xfId="789" xr:uid="{00000000-0005-0000-0000-000095030000}"/>
    <cellStyle name="Warning Text" xfId="17" builtinId="11" customBuiltin="1"/>
    <cellStyle name="Warning Text 2" xfId="790" xr:uid="{00000000-0005-0000-0000-000096030000}"/>
    <cellStyle name="Warning Text 2 2" xfId="791" xr:uid="{00000000-0005-0000-0000-000097030000}"/>
    <cellStyle name="Warning Text 2 3" xfId="792" xr:uid="{00000000-0005-0000-0000-000098030000}"/>
    <cellStyle name="Warning Text 3" xfId="793" xr:uid="{00000000-0005-0000-0000-000099030000}"/>
    <cellStyle name="Warning Text 3 2" xfId="794" xr:uid="{00000000-0005-0000-0000-00009A030000}"/>
    <cellStyle name="Warning Text 3 3" xfId="795" xr:uid="{00000000-0005-0000-0000-00009B030000}"/>
    <cellStyle name="一般 2" xfId="796" xr:uid="{00000000-0005-0000-0000-00009C030000}"/>
    <cellStyle name="常规_2011.7～2012.1销售汇总" xfId="797" xr:uid="{00000000-0005-0000-0000-00009D03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7"/>
  <sheetViews>
    <sheetView tabSelected="1" zoomScaleNormal="100" workbookViewId="0">
      <pane xSplit="1" topLeftCell="S1" activePane="topRight" state="frozen"/>
      <selection activeCell="F1" sqref="F1"/>
      <selection pane="topRight" activeCell="A5" sqref="A5:A27"/>
    </sheetView>
  </sheetViews>
  <sheetFormatPr baseColWidth="10" defaultColWidth="9.1640625" defaultRowHeight="15"/>
  <cols>
    <col min="1" max="1" width="30.83203125" customWidth="1"/>
    <col min="2" max="2" width="11.5" customWidth="1"/>
    <col min="3" max="3" width="19.5" customWidth="1"/>
    <col min="4" max="4" width="9.5" customWidth="1"/>
    <col min="5" max="28" width="14.6640625" style="10" customWidth="1"/>
    <col min="29" max="29" width="12.5" bestFit="1" customWidth="1"/>
    <col min="30" max="30" width="15.5" style="10" bestFit="1" customWidth="1"/>
    <col min="32" max="32" width="11.5" bestFit="1" customWidth="1"/>
    <col min="34" max="34" width="9.6640625" bestFit="1" customWidth="1"/>
    <col min="36" max="36" width="11.5" bestFit="1" customWidth="1"/>
    <col min="38" max="38" width="13" bestFit="1" customWidth="1"/>
  </cols>
  <sheetData>
    <row r="1" spans="1:38">
      <c r="E1" s="17"/>
      <c r="G1" s="17"/>
      <c r="I1" s="17"/>
      <c r="K1" s="17"/>
      <c r="M1" s="17"/>
      <c r="O1" s="17"/>
      <c r="Q1" s="17"/>
      <c r="S1" s="17"/>
      <c r="Y1" s="17"/>
      <c r="AA1" s="17"/>
      <c r="AF1">
        <v>1447.6657</v>
      </c>
      <c r="AH1" s="50"/>
    </row>
    <row r="2" spans="1:38" s="26" customFormat="1">
      <c r="A2" s="15"/>
      <c r="B2" s="15"/>
      <c r="C2" s="15"/>
      <c r="D2" s="28"/>
      <c r="E2" s="16">
        <f>SUM(E5:E4931)</f>
        <v>216</v>
      </c>
      <c r="F2" s="39">
        <f>SUM(F5:F4930)</f>
        <v>5727625.3800000008</v>
      </c>
      <c r="G2" s="16">
        <f>SUM(G5:G4931)</f>
        <v>47</v>
      </c>
      <c r="H2" s="39">
        <f>SUM(H5:H4930)</f>
        <v>1334519</v>
      </c>
      <c r="I2" s="16">
        <f>SUM(I5:I4931)</f>
        <v>2594</v>
      </c>
      <c r="J2" s="39">
        <f>SUM(J5:J4930)</f>
        <v>60596752.960000001</v>
      </c>
      <c r="K2" s="16">
        <f>SUM(K5:K4931)</f>
        <v>2223</v>
      </c>
      <c r="L2" s="39">
        <f>SUM(L5:L4930)</f>
        <v>52723433.780000001</v>
      </c>
      <c r="M2" s="16">
        <f>SUM(M5:M4931)</f>
        <v>2896</v>
      </c>
      <c r="N2" s="39">
        <f>SUM(N5:N4930)</f>
        <v>68110687.420000002</v>
      </c>
      <c r="O2" s="16">
        <f>SUM(O5:O4931)</f>
        <v>6264</v>
      </c>
      <c r="P2" s="39">
        <f>SUM(P5:P4930)</f>
        <v>170348665.42000005</v>
      </c>
      <c r="Q2" s="16">
        <f>SUM(Q5:Q4931)</f>
        <v>2702</v>
      </c>
      <c r="R2" s="39">
        <f>SUM(R5:R4930)</f>
        <v>76267167.790000007</v>
      </c>
      <c r="S2" s="16">
        <f>SUM(S5:S4931)</f>
        <v>0</v>
      </c>
      <c r="T2" s="39">
        <f>SUM(T5:T4930)</f>
        <v>0</v>
      </c>
      <c r="U2" s="16">
        <f>SUM(U5:U4931)</f>
        <v>0</v>
      </c>
      <c r="V2" s="39">
        <f>SUM(V5:V4930)</f>
        <v>0</v>
      </c>
      <c r="W2" s="16">
        <f>SUM(W5:W4931)</f>
        <v>0</v>
      </c>
      <c r="X2" s="39">
        <f>SUM(X5:X4930)</f>
        <v>0</v>
      </c>
      <c r="Y2" s="16">
        <f>SUM(Y5:Y4931)</f>
        <v>0</v>
      </c>
      <c r="Z2" s="39">
        <f>SUM(Z5:Z4930)</f>
        <v>0</v>
      </c>
      <c r="AA2" s="39">
        <f>SUM(AA5:AA4930)</f>
        <v>0</v>
      </c>
      <c r="AB2" s="39">
        <f>SUM(AB5:AB4930)</f>
        <v>0</v>
      </c>
      <c r="AC2" s="16">
        <f>SUM(AC5:AC4931)</f>
        <v>16942</v>
      </c>
      <c r="AD2" s="39">
        <f>SUM(AD5:AD4930)</f>
        <v>435108851.75</v>
      </c>
      <c r="AF2" s="26">
        <v>1408.9662000000001</v>
      </c>
      <c r="AH2" s="51"/>
      <c r="AJ2" s="53"/>
    </row>
    <row r="3" spans="1:38">
      <c r="A3" s="37"/>
      <c r="B3" s="37"/>
      <c r="C3" s="37"/>
      <c r="D3" s="37"/>
      <c r="E3" s="37" t="s">
        <v>10</v>
      </c>
      <c r="F3" s="40" t="s">
        <v>11</v>
      </c>
      <c r="G3" s="37" t="s">
        <v>10</v>
      </c>
      <c r="H3" s="40" t="s">
        <v>11</v>
      </c>
      <c r="I3" s="37" t="s">
        <v>10</v>
      </c>
      <c r="J3" s="40" t="s">
        <v>11</v>
      </c>
      <c r="K3" s="37" t="s">
        <v>10</v>
      </c>
      <c r="L3" s="40" t="s">
        <v>11</v>
      </c>
      <c r="M3" s="37" t="s">
        <v>10</v>
      </c>
      <c r="N3" s="40" t="s">
        <v>11</v>
      </c>
      <c r="O3" s="37" t="s">
        <v>10</v>
      </c>
      <c r="P3" s="40" t="s">
        <v>11</v>
      </c>
      <c r="Q3" s="37" t="s">
        <v>10</v>
      </c>
      <c r="R3" s="40" t="s">
        <v>11</v>
      </c>
      <c r="S3" s="37" t="s">
        <v>10</v>
      </c>
      <c r="T3" s="40" t="s">
        <v>11</v>
      </c>
      <c r="U3" s="37" t="s">
        <v>10</v>
      </c>
      <c r="V3" s="40" t="s">
        <v>11</v>
      </c>
      <c r="W3" s="37" t="s">
        <v>10</v>
      </c>
      <c r="X3" s="40" t="s">
        <v>11</v>
      </c>
      <c r="Y3" s="37" t="s">
        <v>10</v>
      </c>
      <c r="Z3" s="40" t="s">
        <v>11</v>
      </c>
      <c r="AA3" s="37" t="s">
        <v>10</v>
      </c>
      <c r="AB3" s="40" t="s">
        <v>11</v>
      </c>
      <c r="AC3" s="37"/>
      <c r="AD3" s="40"/>
      <c r="AF3">
        <v>1382.7578000000001</v>
      </c>
    </row>
    <row r="4" spans="1:38" ht="28">
      <c r="A4" s="37" t="s">
        <v>6</v>
      </c>
      <c r="B4" s="37" t="s">
        <v>16</v>
      </c>
      <c r="C4" s="37" t="s">
        <v>17</v>
      </c>
      <c r="D4" s="38" t="s">
        <v>7</v>
      </c>
      <c r="E4" s="54">
        <v>46023</v>
      </c>
      <c r="F4" s="55"/>
      <c r="G4" s="54">
        <v>46054</v>
      </c>
      <c r="H4" s="55"/>
      <c r="I4" s="54">
        <v>46082</v>
      </c>
      <c r="J4" s="55"/>
      <c r="K4" s="54">
        <v>46113</v>
      </c>
      <c r="L4" s="55"/>
      <c r="M4" s="54">
        <v>46143</v>
      </c>
      <c r="N4" s="55"/>
      <c r="O4" s="54">
        <v>46174</v>
      </c>
      <c r="P4" s="55"/>
      <c r="Q4" s="54">
        <v>46204</v>
      </c>
      <c r="R4" s="55"/>
      <c r="S4" s="54">
        <v>46235</v>
      </c>
      <c r="T4" s="55"/>
      <c r="U4" s="54">
        <v>46266</v>
      </c>
      <c r="V4" s="55"/>
      <c r="W4" s="54">
        <v>46296</v>
      </c>
      <c r="X4" s="55"/>
      <c r="Y4" s="54">
        <v>46327</v>
      </c>
      <c r="Z4" s="55"/>
      <c r="AA4" s="54">
        <v>46357</v>
      </c>
      <c r="AB4" s="55"/>
      <c r="AC4" s="36" t="s">
        <v>8</v>
      </c>
      <c r="AD4" s="41" t="s">
        <v>9</v>
      </c>
      <c r="AF4" s="52">
        <f t="shared" ref="AF4:AJ4" si="0">(AF1+AF2+AF3)/3</f>
        <v>1413.1299000000001</v>
      </c>
      <c r="AH4" s="52">
        <f t="shared" si="0"/>
        <v>0</v>
      </c>
      <c r="AJ4">
        <f t="shared" si="0"/>
        <v>0</v>
      </c>
      <c r="AL4">
        <f t="shared" ref="AL4" si="1">(AL1+AL2+AL3)/3</f>
        <v>0</v>
      </c>
    </row>
    <row r="5" spans="1:38">
      <c r="A5" t="s">
        <v>45</v>
      </c>
      <c r="B5" t="s">
        <v>22</v>
      </c>
      <c r="C5" s="44" t="s">
        <v>46</v>
      </c>
      <c r="D5" s="45" t="s">
        <v>29</v>
      </c>
      <c r="E5"/>
      <c r="F5" s="43"/>
      <c r="G5"/>
      <c r="H5" s="43"/>
      <c r="I5">
        <v>2594</v>
      </c>
      <c r="J5" s="43">
        <v>60596752.960000001</v>
      </c>
      <c r="K5" s="14">
        <v>1951</v>
      </c>
      <c r="L5" s="43">
        <v>44919824</v>
      </c>
      <c r="M5" s="14">
        <v>2581</v>
      </c>
      <c r="N5" s="43">
        <v>59424944</v>
      </c>
      <c r="O5" s="14">
        <v>5675</v>
      </c>
      <c r="P5" s="43">
        <v>153967163.26000002</v>
      </c>
      <c r="Q5" s="14">
        <v>2650</v>
      </c>
      <c r="R5" s="43">
        <v>74808825.5</v>
      </c>
      <c r="S5" s="14"/>
      <c r="T5" s="43"/>
      <c r="U5" s="14"/>
      <c r="V5" s="43"/>
      <c r="W5"/>
      <c r="X5" s="43"/>
      <c r="Y5" s="14"/>
      <c r="Z5" s="43"/>
      <c r="AA5"/>
      <c r="AB5" s="43"/>
      <c r="AC5" s="35">
        <f t="shared" ref="AC5:AC6" si="2">AA5+Y5+W5+U5+S5+Q5+O5+M5+K5+I5+G5+E5</f>
        <v>15451</v>
      </c>
      <c r="AD5" s="42">
        <f t="shared" ref="AD5:AD6" si="3">AB5+Z5+X5+V5+T5+R5+P5+N5+L5+J5+H5+F5</f>
        <v>393717509.71999997</v>
      </c>
      <c r="AE5" s="14">
        <f t="shared" ref="AE5:AE67" si="4">E5+G5+I5</f>
        <v>2594</v>
      </c>
      <c r="AF5" s="46">
        <f t="shared" ref="AF5:AF67" si="5">(F5+H5+J5)/$AF$4</f>
        <v>42881.233324692934</v>
      </c>
      <c r="AG5" s="14">
        <f t="shared" ref="AG5:AG67" si="6">K5+M5+O5</f>
        <v>10207</v>
      </c>
      <c r="AH5" t="e">
        <f t="shared" ref="AH5:AH67" si="7">(L5+N5+P5)/$AH$4</f>
        <v>#DIV/0!</v>
      </c>
      <c r="AI5" s="14">
        <f t="shared" ref="AI5:AI67" si="8">U5+S5+Q5</f>
        <v>2650</v>
      </c>
      <c r="AJ5" s="46" t="e">
        <f t="shared" ref="AJ5:AJ67" si="9">(V5+T5+R5)/$AJ$4</f>
        <v>#DIV/0!</v>
      </c>
      <c r="AK5" s="14">
        <f t="shared" ref="AK5:AK67" si="10">W5+Y5+AA5</f>
        <v>0</v>
      </c>
      <c r="AL5" s="46" t="e">
        <f t="shared" ref="AL5:AL67" si="11">(X5+Z5+AB5)/$AL$4</f>
        <v>#DIV/0!</v>
      </c>
    </row>
    <row r="6" spans="1:38">
      <c r="A6" t="s">
        <v>48</v>
      </c>
      <c r="B6" t="s">
        <v>22</v>
      </c>
      <c r="C6" s="44" t="s">
        <v>44</v>
      </c>
      <c r="D6" s="45" t="s">
        <v>29</v>
      </c>
      <c r="E6"/>
      <c r="F6" s="43"/>
      <c r="G6"/>
      <c r="H6" s="43"/>
      <c r="I6" s="14"/>
      <c r="J6" s="43"/>
      <c r="K6" s="14">
        <v>10</v>
      </c>
      <c r="L6" s="43">
        <v>249366.39999999999</v>
      </c>
      <c r="M6" s="14"/>
      <c r="N6" s="43"/>
      <c r="O6" s="14">
        <v>20</v>
      </c>
      <c r="P6" s="43">
        <v>498732.79999999993</v>
      </c>
      <c r="Q6" s="14"/>
      <c r="R6" s="43"/>
      <c r="S6" s="14"/>
      <c r="T6" s="43"/>
      <c r="U6" s="14"/>
      <c r="V6" s="43"/>
      <c r="W6"/>
      <c r="X6" s="43"/>
      <c r="Y6" s="14"/>
      <c r="Z6" s="43"/>
      <c r="AA6"/>
      <c r="AB6" s="43"/>
      <c r="AC6" s="35">
        <f t="shared" si="2"/>
        <v>30</v>
      </c>
      <c r="AD6" s="42">
        <f t="shared" si="3"/>
        <v>748099.2</v>
      </c>
      <c r="AE6" s="14">
        <f t="shared" si="4"/>
        <v>0</v>
      </c>
      <c r="AF6" s="46">
        <f t="shared" si="5"/>
        <v>0</v>
      </c>
      <c r="AG6" s="14">
        <f t="shared" si="6"/>
        <v>30</v>
      </c>
      <c r="AH6" t="e">
        <f t="shared" si="7"/>
        <v>#DIV/0!</v>
      </c>
      <c r="AI6" s="14">
        <f t="shared" si="8"/>
        <v>0</v>
      </c>
      <c r="AJ6" s="46" t="e">
        <f t="shared" si="9"/>
        <v>#DIV/0!</v>
      </c>
      <c r="AK6" s="14">
        <f t="shared" si="10"/>
        <v>0</v>
      </c>
      <c r="AL6" s="46" t="e">
        <f t="shared" si="11"/>
        <v>#DIV/0!</v>
      </c>
    </row>
    <row r="7" spans="1:38">
      <c r="A7" t="s">
        <v>56</v>
      </c>
      <c r="B7" t="s">
        <v>22</v>
      </c>
      <c r="C7" s="44" t="s">
        <v>28</v>
      </c>
      <c r="D7" s="45" t="s">
        <v>29</v>
      </c>
      <c r="E7"/>
      <c r="F7" s="43"/>
      <c r="G7"/>
      <c r="H7" s="43"/>
      <c r="I7" s="14"/>
      <c r="J7" s="43"/>
      <c r="K7" s="14"/>
      <c r="L7" s="43"/>
      <c r="M7" s="14">
        <v>32</v>
      </c>
      <c r="N7" s="43">
        <v>847845.75999999989</v>
      </c>
      <c r="O7" s="14">
        <v>60</v>
      </c>
      <c r="P7" s="43">
        <v>1589710.8</v>
      </c>
      <c r="Q7" s="14">
        <v>53</v>
      </c>
      <c r="R7" s="43">
        <v>1472369.15</v>
      </c>
      <c r="S7" s="14"/>
      <c r="T7" s="43"/>
      <c r="U7" s="14"/>
      <c r="V7" s="43"/>
      <c r="W7"/>
      <c r="X7" s="43"/>
      <c r="Y7"/>
      <c r="Z7" s="43"/>
      <c r="AA7"/>
      <c r="AB7" s="43"/>
      <c r="AC7" s="35">
        <f t="shared" ref="AC7:AC17" si="12">AA7+Y7+W7+U7+S7+Q7+O7+M7+K7+I7+G7+E7</f>
        <v>145</v>
      </c>
      <c r="AD7" s="42">
        <f t="shared" ref="AD7:AD17" si="13">AB7+Z7+X7+V7+T7+R7+P7+N7+L7+J7+H7+F7</f>
        <v>3909925.71</v>
      </c>
      <c r="AE7" s="14">
        <f t="shared" ref="AE7:AE35" si="14">E7+G7+I7</f>
        <v>0</v>
      </c>
      <c r="AF7" s="46">
        <f t="shared" ref="AF7:AF35" si="15">(F7+H7+J7)/$AF$4</f>
        <v>0</v>
      </c>
      <c r="AG7" s="14">
        <f t="shared" ref="AG7:AG35" si="16">K7+M7+O7</f>
        <v>92</v>
      </c>
      <c r="AH7" t="e">
        <f t="shared" ref="AH7:AH35" si="17">(L7+N7+P7)/$AH$4</f>
        <v>#DIV/0!</v>
      </c>
      <c r="AI7" s="14">
        <f t="shared" ref="AI7:AI35" si="18">U7+S7+Q7</f>
        <v>53</v>
      </c>
      <c r="AJ7" s="46" t="e">
        <f t="shared" ref="AJ7:AJ35" si="19">(V7+T7+R7)/$AJ$4</f>
        <v>#DIV/0!</v>
      </c>
      <c r="AK7" s="14">
        <f t="shared" ref="AK7:AK35" si="20">W7+Y7+AA7</f>
        <v>0</v>
      </c>
      <c r="AL7" s="46" t="e">
        <f t="shared" ref="AL7:AL35" si="21">(X7+Z7+AB7)/$AL$4</f>
        <v>#DIV/0!</v>
      </c>
    </row>
    <row r="8" spans="1:38">
      <c r="A8" t="s">
        <v>57</v>
      </c>
      <c r="B8" t="s">
        <v>22</v>
      </c>
      <c r="C8" s="44" t="s">
        <v>28</v>
      </c>
      <c r="D8" s="45" t="s">
        <v>29</v>
      </c>
      <c r="E8"/>
      <c r="F8" s="43"/>
      <c r="G8"/>
      <c r="H8" s="43"/>
      <c r="I8" s="14"/>
      <c r="J8" s="43"/>
      <c r="K8" s="14"/>
      <c r="L8" s="43"/>
      <c r="M8" s="14"/>
      <c r="N8" s="43"/>
      <c r="O8" s="14">
        <v>36</v>
      </c>
      <c r="P8" s="43">
        <v>953826.48</v>
      </c>
      <c r="Q8" s="14"/>
      <c r="R8" s="43"/>
      <c r="S8" s="14"/>
      <c r="T8" s="43"/>
      <c r="U8" s="14"/>
      <c r="V8" s="43"/>
      <c r="W8"/>
      <c r="X8" s="43"/>
      <c r="Y8" s="14"/>
      <c r="Z8" s="43"/>
      <c r="AA8"/>
      <c r="AB8" s="43"/>
      <c r="AC8" s="35">
        <f t="shared" si="12"/>
        <v>36</v>
      </c>
      <c r="AD8" s="42">
        <f t="shared" si="13"/>
        <v>953826.48</v>
      </c>
      <c r="AE8" s="14">
        <f t="shared" si="14"/>
        <v>0</v>
      </c>
      <c r="AF8" s="46">
        <f t="shared" si="15"/>
        <v>0</v>
      </c>
      <c r="AG8" s="14">
        <f t="shared" si="16"/>
        <v>36</v>
      </c>
      <c r="AH8" t="e">
        <f t="shared" si="17"/>
        <v>#DIV/0!</v>
      </c>
      <c r="AI8" s="14">
        <f t="shared" si="18"/>
        <v>0</v>
      </c>
      <c r="AJ8" s="46" t="e">
        <f t="shared" si="19"/>
        <v>#DIV/0!</v>
      </c>
      <c r="AK8" s="14">
        <f t="shared" si="20"/>
        <v>0</v>
      </c>
      <c r="AL8" s="46" t="e">
        <f t="shared" si="21"/>
        <v>#DIV/0!</v>
      </c>
    </row>
    <row r="9" spans="1:38">
      <c r="A9" t="s">
        <v>24</v>
      </c>
      <c r="B9" t="s">
        <v>22</v>
      </c>
      <c r="C9" s="44" t="s">
        <v>28</v>
      </c>
      <c r="D9" s="45" t="s">
        <v>29</v>
      </c>
      <c r="E9">
        <v>76</v>
      </c>
      <c r="F9" s="43">
        <v>2013633.6800000002</v>
      </c>
      <c r="G9"/>
      <c r="H9" s="43"/>
      <c r="I9" s="14"/>
      <c r="J9" s="43"/>
      <c r="K9" s="14">
        <v>49</v>
      </c>
      <c r="L9" s="43">
        <v>1298263.82</v>
      </c>
      <c r="M9" s="14"/>
      <c r="N9" s="43"/>
      <c r="O9" s="14"/>
      <c r="P9" s="43"/>
      <c r="Q9" s="14"/>
      <c r="R9" s="43"/>
      <c r="S9" s="14"/>
      <c r="T9" s="43"/>
      <c r="U9" s="14"/>
      <c r="V9" s="43"/>
      <c r="W9"/>
      <c r="X9" s="43"/>
      <c r="Y9" s="14"/>
      <c r="Z9" s="43"/>
      <c r="AA9"/>
      <c r="AB9" s="43"/>
      <c r="AC9" s="35">
        <f t="shared" si="12"/>
        <v>125</v>
      </c>
      <c r="AD9" s="42">
        <f t="shared" si="13"/>
        <v>3311897.5</v>
      </c>
      <c r="AE9" s="14">
        <f t="shared" si="14"/>
        <v>76</v>
      </c>
      <c r="AF9" s="46">
        <f t="shared" si="15"/>
        <v>1424.9459161539219</v>
      </c>
      <c r="AG9" s="14">
        <f t="shared" si="16"/>
        <v>49</v>
      </c>
      <c r="AH9" t="e">
        <f t="shared" si="17"/>
        <v>#DIV/0!</v>
      </c>
      <c r="AI9" s="14">
        <f t="shared" si="18"/>
        <v>0</v>
      </c>
      <c r="AJ9" s="46" t="e">
        <f t="shared" si="19"/>
        <v>#DIV/0!</v>
      </c>
      <c r="AK9" s="14">
        <f t="shared" si="20"/>
        <v>0</v>
      </c>
      <c r="AL9" s="46" t="e">
        <f t="shared" si="21"/>
        <v>#DIV/0!</v>
      </c>
    </row>
    <row r="10" spans="1:38">
      <c r="A10" t="s">
        <v>58</v>
      </c>
      <c r="B10" t="s">
        <v>22</v>
      </c>
      <c r="C10" s="44" t="s">
        <v>28</v>
      </c>
      <c r="D10" s="45" t="s">
        <v>29</v>
      </c>
      <c r="E10" s="14"/>
      <c r="F10" s="43"/>
      <c r="G10" s="14"/>
      <c r="H10" s="43"/>
      <c r="I10" s="14"/>
      <c r="J10" s="43"/>
      <c r="K10" s="14"/>
      <c r="L10" s="43"/>
      <c r="M10" s="14"/>
      <c r="N10" s="43"/>
      <c r="O10" s="14">
        <v>26</v>
      </c>
      <c r="P10" s="43">
        <v>688874.68</v>
      </c>
      <c r="Q10" s="14"/>
      <c r="R10" s="43"/>
      <c r="S10" s="14"/>
      <c r="T10" s="43"/>
      <c r="U10" s="14"/>
      <c r="V10" s="43"/>
      <c r="W10"/>
      <c r="X10" s="43"/>
      <c r="Y10" s="14"/>
      <c r="Z10" s="43"/>
      <c r="AA10"/>
      <c r="AB10" s="43"/>
      <c r="AC10" s="35">
        <f t="shared" si="12"/>
        <v>26</v>
      </c>
      <c r="AD10" s="42">
        <f t="shared" si="13"/>
        <v>688874.68</v>
      </c>
      <c r="AE10" s="14">
        <f t="shared" si="14"/>
        <v>0</v>
      </c>
      <c r="AF10" s="46">
        <f t="shared" si="15"/>
        <v>0</v>
      </c>
      <c r="AG10" s="14">
        <f t="shared" si="16"/>
        <v>26</v>
      </c>
      <c r="AH10" t="e">
        <f t="shared" si="17"/>
        <v>#DIV/0!</v>
      </c>
      <c r="AI10" s="14">
        <f t="shared" si="18"/>
        <v>0</v>
      </c>
      <c r="AJ10" s="46" t="e">
        <f t="shared" si="19"/>
        <v>#DIV/0!</v>
      </c>
      <c r="AK10" s="14">
        <f t="shared" si="20"/>
        <v>0</v>
      </c>
      <c r="AL10" s="46" t="e">
        <f t="shared" si="21"/>
        <v>#DIV/0!</v>
      </c>
    </row>
    <row r="11" spans="1:38">
      <c r="A11" t="s">
        <v>25</v>
      </c>
      <c r="B11" t="s">
        <v>22</v>
      </c>
      <c r="C11" s="44" t="s">
        <v>28</v>
      </c>
      <c r="D11" s="45" t="s">
        <v>29</v>
      </c>
      <c r="E11" s="14">
        <v>66</v>
      </c>
      <c r="F11" s="43">
        <v>1753348.3800000004</v>
      </c>
      <c r="G11" s="14"/>
      <c r="H11" s="43"/>
      <c r="I11" s="14"/>
      <c r="J11" s="43"/>
      <c r="K11" s="14"/>
      <c r="L11" s="43"/>
      <c r="M11" s="14"/>
      <c r="N11" s="43"/>
      <c r="O11" s="14">
        <v>44</v>
      </c>
      <c r="P11" s="43">
        <v>1165787.92</v>
      </c>
      <c r="Q11" s="14"/>
      <c r="R11" s="43"/>
      <c r="S11" s="14"/>
      <c r="T11" s="43"/>
      <c r="U11" s="14"/>
      <c r="V11" s="43"/>
      <c r="W11"/>
      <c r="X11" s="43"/>
      <c r="Y11" s="14"/>
      <c r="Z11" s="43"/>
      <c r="AA11"/>
      <c r="AB11" s="43"/>
      <c r="AC11" s="35">
        <f t="shared" si="12"/>
        <v>110</v>
      </c>
      <c r="AD11" s="42">
        <f t="shared" si="13"/>
        <v>2919136.3000000003</v>
      </c>
      <c r="AE11" s="14">
        <f t="shared" si="14"/>
        <v>66</v>
      </c>
      <c r="AF11" s="46">
        <f t="shared" si="15"/>
        <v>1240.7552766380502</v>
      </c>
      <c r="AG11" s="14">
        <f t="shared" si="16"/>
        <v>44</v>
      </c>
      <c r="AH11" t="e">
        <f t="shared" si="17"/>
        <v>#DIV/0!</v>
      </c>
      <c r="AI11" s="14">
        <f t="shared" si="18"/>
        <v>0</v>
      </c>
      <c r="AJ11" s="46" t="e">
        <f t="shared" si="19"/>
        <v>#DIV/0!</v>
      </c>
      <c r="AK11" s="14">
        <f t="shared" si="20"/>
        <v>0</v>
      </c>
      <c r="AL11" s="46" t="e">
        <f t="shared" si="21"/>
        <v>#DIV/0!</v>
      </c>
    </row>
    <row r="12" spans="1:38">
      <c r="A12" t="s">
        <v>26</v>
      </c>
      <c r="B12" t="s">
        <v>22</v>
      </c>
      <c r="C12" s="44" t="s">
        <v>28</v>
      </c>
      <c r="D12" s="45" t="s">
        <v>29</v>
      </c>
      <c r="E12" s="14">
        <v>44</v>
      </c>
      <c r="F12" s="43">
        <v>1165787.92</v>
      </c>
      <c r="G12" s="14"/>
      <c r="H12" s="43"/>
      <c r="I12" s="14"/>
      <c r="J12" s="43"/>
      <c r="K12" s="14"/>
      <c r="L12" s="43"/>
      <c r="M12" s="14"/>
      <c r="N12" s="43"/>
      <c r="O12" s="14"/>
      <c r="P12" s="43"/>
      <c r="Q12" s="14"/>
      <c r="R12" s="43"/>
      <c r="S12" s="14"/>
      <c r="T12" s="43"/>
      <c r="U12" s="14"/>
      <c r="V12" s="43"/>
      <c r="W12"/>
      <c r="X12" s="43"/>
      <c r="Y12" s="14"/>
      <c r="Z12" s="43"/>
      <c r="AA12"/>
      <c r="AB12" s="43"/>
      <c r="AC12" s="35">
        <f t="shared" si="12"/>
        <v>44</v>
      </c>
      <c r="AD12" s="42">
        <f t="shared" si="13"/>
        <v>1165787.92</v>
      </c>
      <c r="AE12" s="14">
        <f t="shared" si="14"/>
        <v>44</v>
      </c>
      <c r="AF12" s="46">
        <f t="shared" si="15"/>
        <v>824.96868829963887</v>
      </c>
      <c r="AG12" s="14">
        <f t="shared" si="16"/>
        <v>0</v>
      </c>
      <c r="AH12" t="e">
        <f t="shared" si="17"/>
        <v>#DIV/0!</v>
      </c>
      <c r="AI12" s="14">
        <f t="shared" si="18"/>
        <v>0</v>
      </c>
      <c r="AJ12" s="46" t="e">
        <f t="shared" si="19"/>
        <v>#DIV/0!</v>
      </c>
      <c r="AK12" s="14">
        <f t="shared" si="20"/>
        <v>0</v>
      </c>
      <c r="AL12" s="46" t="e">
        <f t="shared" si="21"/>
        <v>#DIV/0!</v>
      </c>
    </row>
    <row r="13" spans="1:38">
      <c r="A13" t="s">
        <v>27</v>
      </c>
      <c r="B13" t="s">
        <v>22</v>
      </c>
      <c r="C13" s="44" t="s">
        <v>28</v>
      </c>
      <c r="D13" s="45" t="s">
        <v>29</v>
      </c>
      <c r="E13" s="14">
        <v>30</v>
      </c>
      <c r="F13" s="43">
        <v>794855.39999999991</v>
      </c>
      <c r="G13" s="14">
        <v>30</v>
      </c>
      <c r="H13" s="43">
        <v>794855.39999999991</v>
      </c>
      <c r="I13" s="14"/>
      <c r="J13" s="43"/>
      <c r="K13" s="14"/>
      <c r="L13" s="43"/>
      <c r="M13" s="14">
        <v>55</v>
      </c>
      <c r="N13" s="43">
        <v>1457234.9000000001</v>
      </c>
      <c r="O13" s="14"/>
      <c r="P13" s="43"/>
      <c r="Q13" s="14"/>
      <c r="R13" s="43"/>
      <c r="S13" s="14"/>
      <c r="T13" s="43"/>
      <c r="U13" s="14"/>
      <c r="V13" s="43"/>
      <c r="W13"/>
      <c r="X13" s="43"/>
      <c r="Y13" s="14"/>
      <c r="Z13" s="43"/>
      <c r="AA13"/>
      <c r="AB13" s="43"/>
      <c r="AC13" s="35">
        <f t="shared" si="12"/>
        <v>115</v>
      </c>
      <c r="AD13" s="42">
        <f t="shared" si="13"/>
        <v>3046945.6999999997</v>
      </c>
      <c r="AE13" s="14">
        <f t="shared" si="14"/>
        <v>60</v>
      </c>
      <c r="AF13" s="46">
        <f t="shared" si="15"/>
        <v>1124.9573022267803</v>
      </c>
      <c r="AG13" s="14">
        <f t="shared" si="16"/>
        <v>55</v>
      </c>
      <c r="AH13" t="e">
        <f t="shared" si="17"/>
        <v>#DIV/0!</v>
      </c>
      <c r="AI13" s="14">
        <f t="shared" si="18"/>
        <v>0</v>
      </c>
      <c r="AJ13" s="46" t="e">
        <f t="shared" si="19"/>
        <v>#DIV/0!</v>
      </c>
      <c r="AK13" s="14">
        <f t="shared" si="20"/>
        <v>0</v>
      </c>
      <c r="AL13" s="46" t="e">
        <f t="shared" si="21"/>
        <v>#DIV/0!</v>
      </c>
    </row>
    <row r="14" spans="1:38">
      <c r="A14" t="s">
        <v>59</v>
      </c>
      <c r="B14" t="s">
        <v>22</v>
      </c>
      <c r="C14" s="44" t="s">
        <v>28</v>
      </c>
      <c r="D14" s="45" t="s">
        <v>29</v>
      </c>
      <c r="E14" s="14"/>
      <c r="F14" s="43"/>
      <c r="G14" s="14"/>
      <c r="H14" s="43"/>
      <c r="I14" s="14"/>
      <c r="J14" s="43"/>
      <c r="K14" s="14"/>
      <c r="L14" s="43"/>
      <c r="M14" s="14"/>
      <c r="N14" s="43"/>
      <c r="O14" s="14">
        <v>96</v>
      </c>
      <c r="P14" s="43">
        <v>2543537.2800000003</v>
      </c>
      <c r="Q14" s="14"/>
      <c r="R14" s="43"/>
      <c r="S14" s="14"/>
      <c r="T14" s="43"/>
      <c r="U14" s="14"/>
      <c r="V14" s="43"/>
      <c r="W14"/>
      <c r="X14" s="43"/>
      <c r="Y14"/>
      <c r="Z14" s="43"/>
      <c r="AA14"/>
      <c r="AB14" s="43"/>
      <c r="AC14" s="35">
        <f t="shared" si="12"/>
        <v>96</v>
      </c>
      <c r="AD14" s="42">
        <f t="shared" si="13"/>
        <v>2543537.2800000003</v>
      </c>
      <c r="AE14" s="14">
        <f t="shared" si="14"/>
        <v>0</v>
      </c>
      <c r="AF14" s="46">
        <f t="shared" si="15"/>
        <v>0</v>
      </c>
      <c r="AG14" s="14">
        <f t="shared" si="16"/>
        <v>96</v>
      </c>
      <c r="AH14" t="e">
        <f t="shared" si="17"/>
        <v>#DIV/0!</v>
      </c>
      <c r="AI14" s="14">
        <f t="shared" si="18"/>
        <v>0</v>
      </c>
      <c r="AJ14" s="46" t="e">
        <f t="shared" si="19"/>
        <v>#DIV/0!</v>
      </c>
      <c r="AK14" s="14">
        <f t="shared" si="20"/>
        <v>0</v>
      </c>
      <c r="AL14" s="46" t="e">
        <f t="shared" si="21"/>
        <v>#DIV/0!</v>
      </c>
    </row>
    <row r="15" spans="1:38">
      <c r="A15" t="s">
        <v>54</v>
      </c>
      <c r="B15" t="s">
        <v>22</v>
      </c>
      <c r="C15" s="44" t="s">
        <v>28</v>
      </c>
      <c r="D15" s="45" t="s">
        <v>29</v>
      </c>
      <c r="E15" s="14"/>
      <c r="F15" s="43"/>
      <c r="G15" s="14"/>
      <c r="H15" s="43"/>
      <c r="I15" s="14"/>
      <c r="J15" s="43"/>
      <c r="K15" s="14"/>
      <c r="L15" s="43"/>
      <c r="M15" s="14">
        <v>64</v>
      </c>
      <c r="N15" s="43">
        <v>1695691.52</v>
      </c>
      <c r="O15" s="14"/>
      <c r="P15" s="43"/>
      <c r="Q15" s="14"/>
      <c r="R15" s="43"/>
      <c r="S15" s="14"/>
      <c r="T15" s="43"/>
      <c r="U15" s="14"/>
      <c r="V15" s="43"/>
      <c r="W15"/>
      <c r="X15" s="43"/>
      <c r="Y15"/>
      <c r="Z15" s="43"/>
      <c r="AA15"/>
      <c r="AB15" s="43"/>
      <c r="AC15" s="35">
        <f t="shared" si="12"/>
        <v>64</v>
      </c>
      <c r="AD15" s="42">
        <f t="shared" si="13"/>
        <v>1695691.52</v>
      </c>
      <c r="AE15" s="14">
        <f t="shared" si="14"/>
        <v>0</v>
      </c>
      <c r="AF15" s="46">
        <f t="shared" si="15"/>
        <v>0</v>
      </c>
      <c r="AG15" s="14">
        <f t="shared" si="16"/>
        <v>64</v>
      </c>
      <c r="AH15" t="e">
        <f t="shared" si="17"/>
        <v>#DIV/0!</v>
      </c>
      <c r="AI15" s="14">
        <f t="shared" si="18"/>
        <v>0</v>
      </c>
      <c r="AJ15" s="46" t="e">
        <f t="shared" si="19"/>
        <v>#DIV/0!</v>
      </c>
      <c r="AK15" s="14">
        <f t="shared" si="20"/>
        <v>0</v>
      </c>
      <c r="AL15" s="46" t="e">
        <f t="shared" si="21"/>
        <v>#DIV/0!</v>
      </c>
    </row>
    <row r="16" spans="1:38">
      <c r="A16" t="s">
        <v>49</v>
      </c>
      <c r="B16" t="s">
        <v>22</v>
      </c>
      <c r="C16" s="44" t="s">
        <v>44</v>
      </c>
      <c r="D16" s="45" t="s">
        <v>29</v>
      </c>
      <c r="E16" s="14"/>
      <c r="F16" s="43"/>
      <c r="G16" s="14"/>
      <c r="H16" s="43"/>
      <c r="I16" s="14"/>
      <c r="J16" s="43"/>
      <c r="K16" s="14">
        <v>18</v>
      </c>
      <c r="L16" s="43">
        <v>476913.24</v>
      </c>
      <c r="M16" s="14">
        <v>27</v>
      </c>
      <c r="N16" s="43">
        <v>841611.59999999986</v>
      </c>
      <c r="O16" s="14"/>
      <c r="P16" s="43"/>
      <c r="Q16" s="14"/>
      <c r="R16" s="43"/>
      <c r="S16" s="14"/>
      <c r="T16" s="43"/>
      <c r="U16" s="14"/>
      <c r="V16" s="43"/>
      <c r="W16"/>
      <c r="X16" s="43"/>
      <c r="Y16" s="14"/>
      <c r="Z16" s="43"/>
      <c r="AA16"/>
      <c r="AB16" s="43"/>
      <c r="AC16" s="35">
        <f t="shared" si="12"/>
        <v>45</v>
      </c>
      <c r="AD16" s="42">
        <f t="shared" si="13"/>
        <v>1318524.8399999999</v>
      </c>
      <c r="AE16" s="14">
        <f t="shared" si="14"/>
        <v>0</v>
      </c>
      <c r="AF16" s="46">
        <f t="shared" si="15"/>
        <v>0</v>
      </c>
      <c r="AG16" s="14">
        <f t="shared" si="16"/>
        <v>45</v>
      </c>
      <c r="AH16" t="e">
        <f t="shared" si="17"/>
        <v>#DIV/0!</v>
      </c>
      <c r="AI16" s="14">
        <f t="shared" si="18"/>
        <v>0</v>
      </c>
      <c r="AJ16" s="46" t="e">
        <f t="shared" si="19"/>
        <v>#DIV/0!</v>
      </c>
      <c r="AK16" s="14">
        <f t="shared" si="20"/>
        <v>0</v>
      </c>
      <c r="AL16" s="46" t="e">
        <f t="shared" si="21"/>
        <v>#DIV/0!</v>
      </c>
    </row>
    <row r="17" spans="1:38">
      <c r="A17" t="s">
        <v>60</v>
      </c>
      <c r="B17" t="s">
        <v>66</v>
      </c>
      <c r="C17" s="44" t="s">
        <v>44</v>
      </c>
      <c r="D17" s="45" t="s">
        <v>29</v>
      </c>
      <c r="E17" s="14"/>
      <c r="F17" s="43"/>
      <c r="G17" s="14"/>
      <c r="H17" s="43"/>
      <c r="I17" s="14"/>
      <c r="J17" s="43"/>
      <c r="K17" s="14"/>
      <c r="L17" s="43"/>
      <c r="M17" s="14"/>
      <c r="N17" s="43"/>
      <c r="O17" s="14">
        <v>35</v>
      </c>
      <c r="P17" s="43">
        <v>1090978</v>
      </c>
      <c r="Q17" s="14"/>
      <c r="R17" s="43"/>
      <c r="S17" s="14"/>
      <c r="T17" s="43"/>
      <c r="U17" s="14"/>
      <c r="V17" s="43"/>
      <c r="W17"/>
      <c r="X17" s="43"/>
      <c r="Y17" s="14"/>
      <c r="Z17" s="43"/>
      <c r="AA17"/>
      <c r="AB17" s="43"/>
      <c r="AC17" s="35">
        <f t="shared" si="12"/>
        <v>35</v>
      </c>
      <c r="AD17" s="42">
        <f t="shared" si="13"/>
        <v>1090978</v>
      </c>
      <c r="AE17" s="14">
        <f t="shared" si="14"/>
        <v>0</v>
      </c>
      <c r="AF17" s="46">
        <f t="shared" si="15"/>
        <v>0</v>
      </c>
      <c r="AG17" s="14">
        <f t="shared" si="16"/>
        <v>35</v>
      </c>
      <c r="AH17" t="e">
        <f t="shared" si="17"/>
        <v>#DIV/0!</v>
      </c>
      <c r="AI17" s="14">
        <f t="shared" si="18"/>
        <v>0</v>
      </c>
      <c r="AJ17" s="46" t="e">
        <f t="shared" si="19"/>
        <v>#DIV/0!</v>
      </c>
      <c r="AK17" s="14">
        <f t="shared" si="20"/>
        <v>0</v>
      </c>
      <c r="AL17" s="46" t="e">
        <f t="shared" si="21"/>
        <v>#DIV/0!</v>
      </c>
    </row>
    <row r="18" spans="1:38">
      <c r="A18" t="s">
        <v>61</v>
      </c>
      <c r="B18" t="s">
        <v>66</v>
      </c>
      <c r="C18" s="44" t="s">
        <v>44</v>
      </c>
      <c r="D18" s="45" t="s">
        <v>29</v>
      </c>
      <c r="E18" s="14"/>
      <c r="F18" s="43"/>
      <c r="G18" s="14"/>
      <c r="H18" s="43"/>
      <c r="I18" s="14"/>
      <c r="J18" s="43"/>
      <c r="K18" s="14"/>
      <c r="L18" s="43"/>
      <c r="M18" s="14"/>
      <c r="N18" s="43"/>
      <c r="O18" s="14">
        <v>36</v>
      </c>
      <c r="P18" s="43">
        <v>1122148.8</v>
      </c>
      <c r="Q18" s="14"/>
      <c r="R18" s="43"/>
      <c r="S18" s="14"/>
      <c r="T18" s="43"/>
      <c r="U18" s="14"/>
      <c r="V18" s="43"/>
      <c r="W18"/>
      <c r="X18" s="43"/>
      <c r="Y18" s="14"/>
      <c r="Z18" s="43"/>
      <c r="AA18"/>
      <c r="AB18" s="43"/>
      <c r="AC18" s="35">
        <f t="shared" ref="AC18:AC27" si="22">AA18+Y18+W18+U18+S18+Q18+O18+M18+K18+I18+G18+E18</f>
        <v>36</v>
      </c>
      <c r="AD18" s="42">
        <f t="shared" ref="AD18:AD27" si="23">AB18+Z18+X18+V18+T18+R18+P18+N18+L18+J18+H18+F18</f>
        <v>1122148.8</v>
      </c>
      <c r="AE18" s="14">
        <f t="shared" si="14"/>
        <v>0</v>
      </c>
      <c r="AF18" s="46">
        <f t="shared" si="15"/>
        <v>0</v>
      </c>
      <c r="AG18" s="14">
        <f t="shared" si="16"/>
        <v>36</v>
      </c>
      <c r="AH18" t="e">
        <f t="shared" si="17"/>
        <v>#DIV/0!</v>
      </c>
      <c r="AI18" s="14">
        <f t="shared" si="18"/>
        <v>0</v>
      </c>
      <c r="AJ18" s="46" t="e">
        <f t="shared" si="19"/>
        <v>#DIV/0!</v>
      </c>
      <c r="AK18" s="14">
        <f t="shared" si="20"/>
        <v>0</v>
      </c>
      <c r="AL18" s="46" t="e">
        <f t="shared" si="21"/>
        <v>#DIV/0!</v>
      </c>
    </row>
    <row r="19" spans="1:38">
      <c r="A19" t="s">
        <v>62</v>
      </c>
      <c r="B19" t="s">
        <v>67</v>
      </c>
      <c r="C19" s="44" t="s">
        <v>44</v>
      </c>
      <c r="D19" s="45" t="s">
        <v>29</v>
      </c>
      <c r="E19" s="14"/>
      <c r="F19" s="43"/>
      <c r="G19" s="14"/>
      <c r="H19" s="43"/>
      <c r="I19" s="14"/>
      <c r="J19" s="43"/>
      <c r="K19" s="14"/>
      <c r="L19" s="43"/>
      <c r="M19" s="14"/>
      <c r="N19" s="43"/>
      <c r="O19" s="14">
        <v>144</v>
      </c>
      <c r="P19" s="43">
        <v>3860191.8000000003</v>
      </c>
      <c r="Q19" s="14"/>
      <c r="R19" s="43"/>
      <c r="S19" s="14"/>
      <c r="T19" s="43"/>
      <c r="U19" s="14"/>
      <c r="V19" s="43"/>
      <c r="W19"/>
      <c r="X19" s="43"/>
      <c r="Y19" s="14"/>
      <c r="Z19" s="43"/>
      <c r="AA19"/>
      <c r="AB19" s="43"/>
      <c r="AC19" s="35">
        <f t="shared" si="22"/>
        <v>144</v>
      </c>
      <c r="AD19" s="42">
        <f t="shared" si="23"/>
        <v>3860191.8000000003</v>
      </c>
      <c r="AE19" s="14">
        <f t="shared" si="14"/>
        <v>0</v>
      </c>
      <c r="AF19" s="46">
        <f t="shared" si="15"/>
        <v>0</v>
      </c>
      <c r="AG19" s="14">
        <f t="shared" si="16"/>
        <v>144</v>
      </c>
      <c r="AH19" t="e">
        <f t="shared" si="17"/>
        <v>#DIV/0!</v>
      </c>
      <c r="AI19" s="14">
        <f t="shared" si="18"/>
        <v>0</v>
      </c>
      <c r="AJ19" s="46" t="e">
        <f t="shared" si="19"/>
        <v>#DIV/0!</v>
      </c>
      <c r="AK19" s="14">
        <f t="shared" si="20"/>
        <v>0</v>
      </c>
      <c r="AL19" s="46" t="e">
        <f t="shared" si="21"/>
        <v>#DIV/0!</v>
      </c>
    </row>
    <row r="20" spans="1:38">
      <c r="A20" t="s">
        <v>43</v>
      </c>
      <c r="B20" t="s">
        <v>53</v>
      </c>
      <c r="C20" s="44" t="s">
        <v>44</v>
      </c>
      <c r="D20" s="45" t="s">
        <v>29</v>
      </c>
      <c r="E20" s="14"/>
      <c r="F20" s="43"/>
      <c r="G20" s="14">
        <v>17</v>
      </c>
      <c r="H20" s="43">
        <v>539663.6</v>
      </c>
      <c r="I20" s="14"/>
      <c r="J20" s="43"/>
      <c r="K20" s="14"/>
      <c r="L20" s="43"/>
      <c r="M20" s="14"/>
      <c r="N20" s="43"/>
      <c r="O20" s="14"/>
      <c r="P20" s="43"/>
      <c r="Q20" s="14"/>
      <c r="R20" s="43"/>
      <c r="S20" s="14"/>
      <c r="T20" s="43"/>
      <c r="U20" s="14"/>
      <c r="V20" s="43"/>
      <c r="W20"/>
      <c r="X20" s="43"/>
      <c r="Y20" s="14"/>
      <c r="Z20" s="43"/>
      <c r="AA20"/>
      <c r="AB20" s="43"/>
      <c r="AC20" s="35">
        <f t="shared" si="22"/>
        <v>17</v>
      </c>
      <c r="AD20" s="42">
        <f t="shared" si="23"/>
        <v>539663.6</v>
      </c>
      <c r="AE20" s="14">
        <f t="shared" si="14"/>
        <v>17</v>
      </c>
      <c r="AF20" s="46">
        <f t="shared" si="15"/>
        <v>381.89242192101369</v>
      </c>
      <c r="AG20" s="14">
        <f t="shared" si="16"/>
        <v>0</v>
      </c>
      <c r="AH20" t="e">
        <f t="shared" si="17"/>
        <v>#DIV/0!</v>
      </c>
      <c r="AI20" s="14">
        <f t="shared" si="18"/>
        <v>0</v>
      </c>
      <c r="AJ20" s="46" t="e">
        <f t="shared" si="19"/>
        <v>#DIV/0!</v>
      </c>
      <c r="AK20" s="14">
        <f t="shared" si="20"/>
        <v>0</v>
      </c>
      <c r="AL20" s="46" t="e">
        <f t="shared" si="21"/>
        <v>#DIV/0!</v>
      </c>
    </row>
    <row r="21" spans="1:38">
      <c r="A21" t="s">
        <v>50</v>
      </c>
      <c r="B21" t="s">
        <v>53</v>
      </c>
      <c r="C21" s="44" t="s">
        <v>44</v>
      </c>
      <c r="D21" s="45" t="s">
        <v>29</v>
      </c>
      <c r="E21" s="14"/>
      <c r="F21" s="43"/>
      <c r="G21" s="14"/>
      <c r="H21" s="43"/>
      <c r="I21" s="14"/>
      <c r="J21" s="43"/>
      <c r="K21" s="14">
        <v>17</v>
      </c>
      <c r="L21" s="43">
        <v>529903.6</v>
      </c>
      <c r="M21" s="14"/>
      <c r="N21" s="43"/>
      <c r="O21" s="14"/>
      <c r="P21" s="43"/>
      <c r="Q21" s="14"/>
      <c r="R21" s="43"/>
      <c r="S21" s="14"/>
      <c r="T21" s="43"/>
      <c r="U21" s="14"/>
      <c r="V21" s="43"/>
      <c r="W21" s="14"/>
      <c r="X21" s="43"/>
      <c r="Y21"/>
      <c r="Z21" s="43"/>
      <c r="AA21"/>
      <c r="AB21" s="43"/>
      <c r="AC21" s="35">
        <f t="shared" si="22"/>
        <v>17</v>
      </c>
      <c r="AD21" s="42">
        <f t="shared" si="23"/>
        <v>529903.6</v>
      </c>
      <c r="AE21" s="14">
        <f t="shared" si="14"/>
        <v>0</v>
      </c>
      <c r="AF21" s="46">
        <f t="shared" si="15"/>
        <v>0</v>
      </c>
      <c r="AG21" s="14">
        <f t="shared" si="16"/>
        <v>17</v>
      </c>
      <c r="AH21" t="e">
        <f t="shared" si="17"/>
        <v>#DIV/0!</v>
      </c>
      <c r="AI21" s="14">
        <f t="shared" si="18"/>
        <v>0</v>
      </c>
      <c r="AJ21" s="46" t="e">
        <f t="shared" si="19"/>
        <v>#DIV/0!</v>
      </c>
      <c r="AK21" s="14">
        <f t="shared" si="20"/>
        <v>0</v>
      </c>
      <c r="AL21" s="46" t="e">
        <f t="shared" si="21"/>
        <v>#DIV/0!</v>
      </c>
    </row>
    <row r="22" spans="1:38">
      <c r="A22" t="s">
        <v>63</v>
      </c>
      <c r="B22" t="s">
        <v>53</v>
      </c>
      <c r="C22" s="44" t="s">
        <v>44</v>
      </c>
      <c r="D22" s="45" t="s">
        <v>29</v>
      </c>
      <c r="E22" s="14"/>
      <c r="F22" s="43"/>
      <c r="G22" s="14"/>
      <c r="H22" s="43"/>
      <c r="I22" s="14"/>
      <c r="J22" s="43"/>
      <c r="K22" s="14"/>
      <c r="L22" s="43"/>
      <c r="M22" s="14"/>
      <c r="N22" s="43"/>
      <c r="O22" s="14">
        <v>9</v>
      </c>
      <c r="P22" s="43">
        <v>280537.19999999995</v>
      </c>
      <c r="Q22" s="14">
        <v>-1</v>
      </c>
      <c r="R22" s="43">
        <v>-14026.86</v>
      </c>
      <c r="S22" s="14"/>
      <c r="T22" s="43"/>
      <c r="U22" s="14"/>
      <c r="V22" s="43"/>
      <c r="W22" s="14"/>
      <c r="X22" s="43"/>
      <c r="Y22" s="14"/>
      <c r="Z22" s="43"/>
      <c r="AA22"/>
      <c r="AB22" s="43"/>
      <c r="AC22" s="35">
        <f t="shared" si="22"/>
        <v>8</v>
      </c>
      <c r="AD22" s="42">
        <f t="shared" si="23"/>
        <v>266510.33999999997</v>
      </c>
      <c r="AE22" s="14">
        <f t="shared" si="14"/>
        <v>0</v>
      </c>
      <c r="AF22" s="46">
        <f t="shared" si="15"/>
        <v>0</v>
      </c>
      <c r="AG22" s="14">
        <f t="shared" si="16"/>
        <v>9</v>
      </c>
      <c r="AH22" t="e">
        <f t="shared" si="17"/>
        <v>#DIV/0!</v>
      </c>
      <c r="AI22" s="14">
        <f t="shared" si="18"/>
        <v>-1</v>
      </c>
      <c r="AJ22" s="46" t="e">
        <f t="shared" si="19"/>
        <v>#DIV/0!</v>
      </c>
      <c r="AK22" s="14">
        <f t="shared" si="20"/>
        <v>0</v>
      </c>
      <c r="AL22" s="46" t="e">
        <f t="shared" si="21"/>
        <v>#DIV/0!</v>
      </c>
    </row>
    <row r="23" spans="1:38">
      <c r="A23" t="s">
        <v>55</v>
      </c>
      <c r="B23" t="s">
        <v>53</v>
      </c>
      <c r="C23" s="44" t="s">
        <v>44</v>
      </c>
      <c r="D23" s="45" t="s">
        <v>29</v>
      </c>
      <c r="E23" s="14"/>
      <c r="F23" s="43"/>
      <c r="G23" s="14"/>
      <c r="H23" s="43"/>
      <c r="I23" s="14"/>
      <c r="J23" s="43"/>
      <c r="K23" s="14"/>
      <c r="L23" s="43"/>
      <c r="M23" s="14">
        <v>137</v>
      </c>
      <c r="N23" s="43">
        <v>3843359.6399999997</v>
      </c>
      <c r="O23" s="14"/>
      <c r="P23" s="43"/>
      <c r="Q23" s="14"/>
      <c r="R23" s="43"/>
      <c r="S23" s="14"/>
      <c r="T23" s="43"/>
      <c r="U23" s="14"/>
      <c r="V23" s="43"/>
      <c r="W23" s="14"/>
      <c r="X23" s="43"/>
      <c r="Y23" s="14"/>
      <c r="Z23" s="43"/>
      <c r="AA23" s="14"/>
      <c r="AB23" s="43"/>
      <c r="AC23" s="35">
        <f t="shared" si="22"/>
        <v>137</v>
      </c>
      <c r="AD23" s="42">
        <f t="shared" si="23"/>
        <v>3843359.6399999997</v>
      </c>
      <c r="AE23" s="14">
        <f t="shared" si="14"/>
        <v>0</v>
      </c>
      <c r="AF23" s="46">
        <f t="shared" si="15"/>
        <v>0</v>
      </c>
      <c r="AG23" s="14">
        <f t="shared" si="16"/>
        <v>137</v>
      </c>
      <c r="AH23" t="e">
        <f t="shared" si="17"/>
        <v>#DIV/0!</v>
      </c>
      <c r="AI23" s="14">
        <f t="shared" si="18"/>
        <v>0</v>
      </c>
      <c r="AJ23" s="46" t="e">
        <f t="shared" si="19"/>
        <v>#DIV/0!</v>
      </c>
      <c r="AK23" s="14">
        <f t="shared" si="20"/>
        <v>0</v>
      </c>
      <c r="AL23" s="46" t="e">
        <f t="shared" si="21"/>
        <v>#DIV/0!</v>
      </c>
    </row>
    <row r="24" spans="1:38">
      <c r="A24" t="s">
        <v>51</v>
      </c>
      <c r="B24" t="s">
        <v>53</v>
      </c>
      <c r="C24" s="44" t="s">
        <v>44</v>
      </c>
      <c r="D24" s="45" t="s">
        <v>29</v>
      </c>
      <c r="E24" s="14"/>
      <c r="F24" s="43"/>
      <c r="G24" s="14"/>
      <c r="H24" s="43"/>
      <c r="I24" s="14"/>
      <c r="J24" s="43"/>
      <c r="K24" s="14">
        <v>96</v>
      </c>
      <c r="L24" s="43">
        <v>2693157.12</v>
      </c>
      <c r="M24" s="14"/>
      <c r="N24" s="43"/>
      <c r="O24" s="14"/>
      <c r="P24" s="43"/>
      <c r="Q24" s="14"/>
      <c r="R24" s="43"/>
      <c r="S24" s="14"/>
      <c r="T24" s="43"/>
      <c r="U24" s="14"/>
      <c r="V24" s="43"/>
      <c r="W24" s="14"/>
      <c r="X24" s="43"/>
      <c r="Y24" s="14"/>
      <c r="Z24" s="43"/>
      <c r="AA24" s="14"/>
      <c r="AB24" s="43"/>
      <c r="AC24" s="35">
        <f t="shared" si="22"/>
        <v>96</v>
      </c>
      <c r="AD24" s="42">
        <f t="shared" si="23"/>
        <v>2693157.12</v>
      </c>
      <c r="AE24" s="14">
        <f t="shared" si="14"/>
        <v>0</v>
      </c>
      <c r="AF24" s="46">
        <f t="shared" si="15"/>
        <v>0</v>
      </c>
      <c r="AG24" s="14">
        <f t="shared" si="16"/>
        <v>96</v>
      </c>
      <c r="AH24" t="e">
        <f t="shared" si="17"/>
        <v>#DIV/0!</v>
      </c>
      <c r="AI24" s="14">
        <f t="shared" si="18"/>
        <v>0</v>
      </c>
      <c r="AJ24" s="46" t="e">
        <f t="shared" si="19"/>
        <v>#DIV/0!</v>
      </c>
      <c r="AK24" s="14">
        <f t="shared" si="20"/>
        <v>0</v>
      </c>
      <c r="AL24" s="46" t="e">
        <f t="shared" si="21"/>
        <v>#DIV/0!</v>
      </c>
    </row>
    <row r="25" spans="1:38">
      <c r="A25" t="s">
        <v>47</v>
      </c>
      <c r="B25" t="s">
        <v>52</v>
      </c>
      <c r="C25" s="44" t="s">
        <v>44</v>
      </c>
      <c r="D25" s="45" t="s">
        <v>29</v>
      </c>
      <c r="E25" s="14"/>
      <c r="F25" s="43"/>
      <c r="G25" s="14"/>
      <c r="H25" s="43"/>
      <c r="I25" s="14"/>
      <c r="J25" s="43"/>
      <c r="K25" s="14">
        <v>82</v>
      </c>
      <c r="L25" s="43">
        <v>2556005.6</v>
      </c>
      <c r="M25" s="14"/>
      <c r="N25" s="43"/>
      <c r="O25" s="14"/>
      <c r="P25" s="43"/>
      <c r="Q25" s="14"/>
      <c r="R25" s="43"/>
      <c r="S25" s="14"/>
      <c r="T25" s="43"/>
      <c r="U25" s="14"/>
      <c r="V25" s="43"/>
      <c r="W25" s="14"/>
      <c r="X25" s="43"/>
      <c r="Y25" s="14"/>
      <c r="Z25" s="43"/>
      <c r="AA25" s="14"/>
      <c r="AB25" s="43"/>
      <c r="AC25" s="35">
        <f t="shared" si="22"/>
        <v>82</v>
      </c>
      <c r="AD25" s="42">
        <f t="shared" si="23"/>
        <v>2556005.6</v>
      </c>
      <c r="AE25" s="14">
        <f t="shared" si="14"/>
        <v>0</v>
      </c>
      <c r="AF25" s="46">
        <f t="shared" si="15"/>
        <v>0</v>
      </c>
      <c r="AG25" s="14">
        <f t="shared" si="16"/>
        <v>82</v>
      </c>
      <c r="AH25" t="e">
        <f t="shared" si="17"/>
        <v>#DIV/0!</v>
      </c>
      <c r="AI25" s="14">
        <f t="shared" si="18"/>
        <v>0</v>
      </c>
      <c r="AJ25" s="46" t="e">
        <f t="shared" si="19"/>
        <v>#DIV/0!</v>
      </c>
      <c r="AK25" s="14">
        <f t="shared" si="20"/>
        <v>0</v>
      </c>
      <c r="AL25" s="46" t="e">
        <f t="shared" si="21"/>
        <v>#DIV/0!</v>
      </c>
    </row>
    <row r="26" spans="1:38">
      <c r="A26" t="s">
        <v>64</v>
      </c>
      <c r="B26" t="s">
        <v>52</v>
      </c>
      <c r="C26" s="44" t="s">
        <v>44</v>
      </c>
      <c r="D26" s="45" t="s">
        <v>29</v>
      </c>
      <c r="E26" s="14"/>
      <c r="F26" s="43"/>
      <c r="G26" s="14"/>
      <c r="H26" s="43"/>
      <c r="I26" s="14"/>
      <c r="J26" s="43"/>
      <c r="K26" s="14"/>
      <c r="L26" s="43"/>
      <c r="M26" s="14"/>
      <c r="N26" s="43"/>
      <c r="O26" s="14">
        <v>52</v>
      </c>
      <c r="P26" s="43">
        <v>1620881.6</v>
      </c>
      <c r="Q26" s="14"/>
      <c r="R26" s="43"/>
      <c r="S26" s="14"/>
      <c r="T26" s="43"/>
      <c r="U26" s="14"/>
      <c r="V26" s="43"/>
      <c r="W26" s="14"/>
      <c r="X26" s="43"/>
      <c r="Y26" s="14"/>
      <c r="Z26" s="43"/>
      <c r="AA26" s="14"/>
      <c r="AB26" s="43"/>
      <c r="AC26" s="35">
        <f t="shared" si="22"/>
        <v>52</v>
      </c>
      <c r="AD26" s="42">
        <f t="shared" si="23"/>
        <v>1620881.6</v>
      </c>
      <c r="AE26" s="14">
        <f t="shared" si="14"/>
        <v>0</v>
      </c>
      <c r="AF26" s="46">
        <f t="shared" si="15"/>
        <v>0</v>
      </c>
      <c r="AG26" s="14">
        <f t="shared" si="16"/>
        <v>52</v>
      </c>
      <c r="AH26" t="e">
        <f t="shared" si="17"/>
        <v>#DIV/0!</v>
      </c>
      <c r="AI26" s="14">
        <f t="shared" si="18"/>
        <v>0</v>
      </c>
      <c r="AJ26" s="46" t="e">
        <f t="shared" si="19"/>
        <v>#DIV/0!</v>
      </c>
      <c r="AK26" s="14">
        <f t="shared" si="20"/>
        <v>0</v>
      </c>
      <c r="AL26" s="46" t="e">
        <f t="shared" si="21"/>
        <v>#DIV/0!</v>
      </c>
    </row>
    <row r="27" spans="1:38">
      <c r="A27" t="s">
        <v>65</v>
      </c>
      <c r="B27" t="s">
        <v>52</v>
      </c>
      <c r="C27" s="44" t="s">
        <v>44</v>
      </c>
      <c r="D27" s="45" t="s">
        <v>29</v>
      </c>
      <c r="E27" s="14"/>
      <c r="F27" s="43"/>
      <c r="G27" s="14"/>
      <c r="H27" s="43"/>
      <c r="I27" s="14"/>
      <c r="J27" s="43"/>
      <c r="K27" s="14"/>
      <c r="L27" s="43"/>
      <c r="M27" s="14"/>
      <c r="N27" s="43"/>
      <c r="O27" s="14">
        <v>31</v>
      </c>
      <c r="P27" s="43">
        <v>966294.79999999981</v>
      </c>
      <c r="Q27" s="14"/>
      <c r="R27" s="43"/>
      <c r="S27" s="14"/>
      <c r="T27" s="43"/>
      <c r="U27" s="14"/>
      <c r="V27" s="43"/>
      <c r="W27" s="14"/>
      <c r="X27" s="43"/>
      <c r="Y27" s="14"/>
      <c r="Z27" s="43"/>
      <c r="AA27" s="14"/>
      <c r="AB27" s="43"/>
      <c r="AC27" s="35">
        <f t="shared" si="22"/>
        <v>31</v>
      </c>
      <c r="AD27" s="42">
        <f t="shared" si="23"/>
        <v>966294.79999999981</v>
      </c>
      <c r="AE27" s="14">
        <f t="shared" si="14"/>
        <v>0</v>
      </c>
      <c r="AF27" s="46">
        <f t="shared" si="15"/>
        <v>0</v>
      </c>
      <c r="AG27" s="14">
        <f t="shared" si="16"/>
        <v>31</v>
      </c>
      <c r="AH27" t="e">
        <f t="shared" si="17"/>
        <v>#DIV/0!</v>
      </c>
      <c r="AI27" s="14">
        <f t="shared" si="18"/>
        <v>0</v>
      </c>
      <c r="AJ27" s="46" t="e">
        <f t="shared" si="19"/>
        <v>#DIV/0!</v>
      </c>
      <c r="AK27" s="14">
        <f t="shared" si="20"/>
        <v>0</v>
      </c>
      <c r="AL27" s="46" t="e">
        <f t="shared" si="21"/>
        <v>#DIV/0!</v>
      </c>
    </row>
    <row r="28" spans="1:38">
      <c r="C28" s="44"/>
      <c r="D28" s="45"/>
      <c r="E28" s="14"/>
      <c r="F28" s="43"/>
      <c r="G28" s="14"/>
      <c r="H28" s="43"/>
      <c r="I28" s="14"/>
      <c r="J28" s="43"/>
      <c r="K28" s="14"/>
      <c r="L28" s="43"/>
      <c r="M28" s="14"/>
      <c r="N28" s="43"/>
      <c r="O28" s="14"/>
      <c r="P28" s="43"/>
      <c r="Q28" s="14"/>
      <c r="R28" s="43"/>
      <c r="S28" s="14"/>
      <c r="T28" s="43"/>
      <c r="U28" s="14"/>
      <c r="V28" s="43"/>
      <c r="W28" s="14"/>
      <c r="X28" s="43"/>
      <c r="Y28" s="14"/>
      <c r="Z28" s="43"/>
      <c r="AA28" s="14"/>
      <c r="AB28" s="43"/>
      <c r="AC28" s="35">
        <f t="shared" ref="AC28" si="24">AA28+Y28+W28+U28+S28+Q28+O28+M28+K28+I28+G28+E28</f>
        <v>0</v>
      </c>
      <c r="AD28" s="42">
        <f t="shared" ref="AD28" si="25">AB28+Z28+X28+V28+T28+R28+P28+N28+L28+J28+H28+F28</f>
        <v>0</v>
      </c>
      <c r="AE28" s="14">
        <f t="shared" si="14"/>
        <v>0</v>
      </c>
      <c r="AF28" s="46">
        <f t="shared" si="15"/>
        <v>0</v>
      </c>
      <c r="AG28" s="14">
        <f t="shared" si="16"/>
        <v>0</v>
      </c>
      <c r="AH28" t="e">
        <f t="shared" si="17"/>
        <v>#DIV/0!</v>
      </c>
      <c r="AI28" s="14">
        <f t="shared" si="18"/>
        <v>0</v>
      </c>
      <c r="AJ28" s="46" t="e">
        <f t="shared" si="19"/>
        <v>#DIV/0!</v>
      </c>
      <c r="AK28" s="14">
        <f t="shared" si="20"/>
        <v>0</v>
      </c>
      <c r="AL28" s="46" t="e">
        <f t="shared" si="21"/>
        <v>#DIV/0!</v>
      </c>
    </row>
    <row r="29" spans="1:38">
      <c r="C29" s="44"/>
      <c r="D29" s="45"/>
      <c r="E29" s="14"/>
      <c r="F29" s="43"/>
      <c r="G29" s="14"/>
      <c r="H29" s="43"/>
      <c r="I29" s="14"/>
      <c r="J29" s="43"/>
      <c r="K29" s="14"/>
      <c r="L29" s="43"/>
      <c r="M29" s="14"/>
      <c r="N29" s="43"/>
      <c r="O29" s="14"/>
      <c r="P29" s="43"/>
      <c r="Q29" s="14"/>
      <c r="R29" s="43"/>
      <c r="S29" s="14"/>
      <c r="T29" s="43"/>
      <c r="U29" s="14"/>
      <c r="V29" s="43"/>
      <c r="W29" s="14"/>
      <c r="X29" s="43"/>
      <c r="Y29" s="14"/>
      <c r="Z29" s="43"/>
      <c r="AA29" s="14"/>
      <c r="AB29" s="43"/>
      <c r="AC29" s="35">
        <f t="shared" ref="AC29:AC48" si="26">AA29+Y29+W29+U29+S29+Q29+O29+M29+K29+I29+G29+E29</f>
        <v>0</v>
      </c>
      <c r="AD29" s="42">
        <f t="shared" ref="AD29:AD48" si="27">AB29+Z29+X29+V29+T29+R29+P29+N29+L29+J29+H29+F29</f>
        <v>0</v>
      </c>
      <c r="AE29" s="14">
        <f t="shared" si="14"/>
        <v>0</v>
      </c>
      <c r="AF29" s="46">
        <f t="shared" si="15"/>
        <v>0</v>
      </c>
      <c r="AG29" s="14">
        <f t="shared" si="16"/>
        <v>0</v>
      </c>
      <c r="AH29" t="e">
        <f t="shared" si="17"/>
        <v>#DIV/0!</v>
      </c>
      <c r="AI29" s="14">
        <f t="shared" si="18"/>
        <v>0</v>
      </c>
      <c r="AJ29" s="46" t="e">
        <f t="shared" si="19"/>
        <v>#DIV/0!</v>
      </c>
      <c r="AK29" s="14">
        <f t="shared" si="20"/>
        <v>0</v>
      </c>
      <c r="AL29" s="46" t="e">
        <f t="shared" si="21"/>
        <v>#DIV/0!</v>
      </c>
    </row>
    <row r="30" spans="1:38">
      <c r="C30" s="44"/>
      <c r="D30" s="45"/>
      <c r="E30" s="14"/>
      <c r="F30" s="43"/>
      <c r="G30" s="14"/>
      <c r="H30" s="43"/>
      <c r="I30" s="14"/>
      <c r="J30" s="43"/>
      <c r="K30" s="14"/>
      <c r="L30" s="43"/>
      <c r="M30" s="14"/>
      <c r="N30" s="43"/>
      <c r="O30" s="14"/>
      <c r="P30" s="43"/>
      <c r="Q30" s="14"/>
      <c r="R30" s="43"/>
      <c r="S30" s="14"/>
      <c r="T30" s="43"/>
      <c r="U30" s="14"/>
      <c r="V30" s="43"/>
      <c r="W30" s="14"/>
      <c r="X30" s="43"/>
      <c r="Y30" s="14"/>
      <c r="Z30" s="43"/>
      <c r="AA30" s="14"/>
      <c r="AB30" s="43"/>
      <c r="AC30" s="35">
        <f t="shared" si="26"/>
        <v>0</v>
      </c>
      <c r="AD30" s="42">
        <f t="shared" si="27"/>
        <v>0</v>
      </c>
      <c r="AE30" s="14">
        <f t="shared" si="14"/>
        <v>0</v>
      </c>
      <c r="AF30" s="46">
        <f t="shared" si="15"/>
        <v>0</v>
      </c>
      <c r="AG30" s="14">
        <f t="shared" si="16"/>
        <v>0</v>
      </c>
      <c r="AH30" t="e">
        <f t="shared" si="17"/>
        <v>#DIV/0!</v>
      </c>
      <c r="AI30" s="14">
        <f t="shared" si="18"/>
        <v>0</v>
      </c>
      <c r="AJ30" s="46" t="e">
        <f t="shared" si="19"/>
        <v>#DIV/0!</v>
      </c>
      <c r="AK30" s="14">
        <f t="shared" si="20"/>
        <v>0</v>
      </c>
      <c r="AL30" s="46" t="e">
        <f t="shared" si="21"/>
        <v>#DIV/0!</v>
      </c>
    </row>
    <row r="31" spans="1:38">
      <c r="C31" s="44"/>
      <c r="D31" s="45"/>
      <c r="E31" s="14"/>
      <c r="F31" s="43"/>
      <c r="G31" s="14"/>
      <c r="H31" s="43"/>
      <c r="I31" s="14"/>
      <c r="J31" s="43"/>
      <c r="K31" s="14"/>
      <c r="L31" s="43"/>
      <c r="M31" s="14"/>
      <c r="N31" s="43"/>
      <c r="O31" s="14"/>
      <c r="P31" s="43"/>
      <c r="Q31" s="14"/>
      <c r="R31" s="43"/>
      <c r="S31" s="14"/>
      <c r="T31" s="43"/>
      <c r="U31" s="14"/>
      <c r="V31" s="43"/>
      <c r="W31" s="14"/>
      <c r="X31" s="43"/>
      <c r="Y31" s="14"/>
      <c r="Z31" s="43"/>
      <c r="AA31" s="14"/>
      <c r="AB31" s="43"/>
      <c r="AC31" s="35">
        <f t="shared" si="26"/>
        <v>0</v>
      </c>
      <c r="AD31" s="42">
        <f t="shared" si="27"/>
        <v>0</v>
      </c>
      <c r="AE31" s="14">
        <f t="shared" si="14"/>
        <v>0</v>
      </c>
      <c r="AF31" s="46">
        <f t="shared" si="15"/>
        <v>0</v>
      </c>
      <c r="AG31" s="14">
        <f t="shared" si="16"/>
        <v>0</v>
      </c>
      <c r="AH31" t="e">
        <f t="shared" si="17"/>
        <v>#DIV/0!</v>
      </c>
      <c r="AI31" s="14">
        <f t="shared" si="18"/>
        <v>0</v>
      </c>
      <c r="AJ31" s="46" t="e">
        <f t="shared" si="19"/>
        <v>#DIV/0!</v>
      </c>
      <c r="AK31" s="14">
        <f t="shared" si="20"/>
        <v>0</v>
      </c>
      <c r="AL31" s="46" t="e">
        <f t="shared" si="21"/>
        <v>#DIV/0!</v>
      </c>
    </row>
    <row r="32" spans="1:38">
      <c r="C32" s="44"/>
      <c r="D32" s="45"/>
      <c r="E32" s="14"/>
      <c r="F32" s="43"/>
      <c r="G32" s="14"/>
      <c r="H32" s="43"/>
      <c r="I32" s="14"/>
      <c r="J32" s="43"/>
      <c r="K32" s="14"/>
      <c r="L32" s="43"/>
      <c r="M32" s="14"/>
      <c r="N32" s="43"/>
      <c r="O32" s="14"/>
      <c r="P32" s="43"/>
      <c r="Q32" s="14"/>
      <c r="R32" s="43"/>
      <c r="S32" s="14"/>
      <c r="T32" s="43"/>
      <c r="U32" s="14"/>
      <c r="V32" s="43"/>
      <c r="W32" s="14"/>
      <c r="X32" s="43"/>
      <c r="Y32" s="14"/>
      <c r="Z32" s="43"/>
      <c r="AA32" s="14"/>
      <c r="AB32" s="43"/>
      <c r="AC32" s="35">
        <f t="shared" si="26"/>
        <v>0</v>
      </c>
      <c r="AD32" s="42">
        <f t="shared" si="27"/>
        <v>0</v>
      </c>
      <c r="AE32" s="14">
        <f t="shared" si="14"/>
        <v>0</v>
      </c>
      <c r="AF32" s="46">
        <f t="shared" si="15"/>
        <v>0</v>
      </c>
      <c r="AG32" s="14">
        <f t="shared" si="16"/>
        <v>0</v>
      </c>
      <c r="AH32" t="e">
        <f t="shared" si="17"/>
        <v>#DIV/0!</v>
      </c>
      <c r="AI32" s="14">
        <f t="shared" si="18"/>
        <v>0</v>
      </c>
      <c r="AJ32" s="46" t="e">
        <f t="shared" si="19"/>
        <v>#DIV/0!</v>
      </c>
      <c r="AK32" s="14">
        <f t="shared" si="20"/>
        <v>0</v>
      </c>
      <c r="AL32" s="46" t="e">
        <f t="shared" si="21"/>
        <v>#DIV/0!</v>
      </c>
    </row>
    <row r="33" spans="3:38">
      <c r="C33" s="44"/>
      <c r="D33" s="45"/>
      <c r="E33" s="14"/>
      <c r="F33" s="43"/>
      <c r="G33" s="14"/>
      <c r="H33" s="43"/>
      <c r="I33" s="14"/>
      <c r="J33" s="43"/>
      <c r="K33" s="14"/>
      <c r="L33" s="43"/>
      <c r="M33" s="14"/>
      <c r="N33" s="43"/>
      <c r="O33" s="14"/>
      <c r="P33" s="43"/>
      <c r="Q33" s="14"/>
      <c r="R33" s="43"/>
      <c r="S33" s="14"/>
      <c r="T33" s="43"/>
      <c r="U33" s="14"/>
      <c r="V33" s="43"/>
      <c r="W33" s="14"/>
      <c r="X33" s="43"/>
      <c r="Y33" s="14"/>
      <c r="Z33" s="43"/>
      <c r="AA33" s="14"/>
      <c r="AB33" s="43"/>
      <c r="AC33" s="35">
        <f t="shared" si="26"/>
        <v>0</v>
      </c>
      <c r="AD33" s="42">
        <f t="shared" si="27"/>
        <v>0</v>
      </c>
      <c r="AE33" s="14">
        <f t="shared" si="14"/>
        <v>0</v>
      </c>
      <c r="AF33" s="46">
        <f t="shared" si="15"/>
        <v>0</v>
      </c>
      <c r="AG33" s="14">
        <f t="shared" si="16"/>
        <v>0</v>
      </c>
      <c r="AH33" t="e">
        <f t="shared" si="17"/>
        <v>#DIV/0!</v>
      </c>
      <c r="AI33" s="14">
        <f t="shared" si="18"/>
        <v>0</v>
      </c>
      <c r="AJ33" s="46" t="e">
        <f t="shared" si="19"/>
        <v>#DIV/0!</v>
      </c>
      <c r="AK33" s="14">
        <f t="shared" si="20"/>
        <v>0</v>
      </c>
      <c r="AL33" s="46" t="e">
        <f t="shared" si="21"/>
        <v>#DIV/0!</v>
      </c>
    </row>
    <row r="34" spans="3:38">
      <c r="C34" s="44"/>
      <c r="D34" s="45"/>
      <c r="E34" s="14"/>
      <c r="F34" s="43"/>
      <c r="G34" s="14"/>
      <c r="H34" s="43"/>
      <c r="I34" s="14"/>
      <c r="J34" s="43"/>
      <c r="K34" s="14"/>
      <c r="L34" s="43"/>
      <c r="M34" s="14"/>
      <c r="N34" s="43"/>
      <c r="O34" s="14"/>
      <c r="P34" s="43"/>
      <c r="Q34" s="14"/>
      <c r="R34" s="43"/>
      <c r="S34" s="14"/>
      <c r="T34" s="43"/>
      <c r="U34" s="14"/>
      <c r="V34" s="43"/>
      <c r="W34" s="14"/>
      <c r="X34" s="43"/>
      <c r="Y34" s="14"/>
      <c r="Z34" s="43"/>
      <c r="AA34" s="14"/>
      <c r="AB34" s="43"/>
      <c r="AC34" s="35">
        <f t="shared" si="26"/>
        <v>0</v>
      </c>
      <c r="AD34" s="42">
        <f t="shared" si="27"/>
        <v>0</v>
      </c>
      <c r="AE34" s="14">
        <f t="shared" si="14"/>
        <v>0</v>
      </c>
      <c r="AF34" s="46">
        <f t="shared" si="15"/>
        <v>0</v>
      </c>
      <c r="AG34" s="14">
        <f t="shared" si="16"/>
        <v>0</v>
      </c>
      <c r="AH34" t="e">
        <f t="shared" si="17"/>
        <v>#DIV/0!</v>
      </c>
      <c r="AI34" s="14">
        <f t="shared" si="18"/>
        <v>0</v>
      </c>
      <c r="AJ34" s="46" t="e">
        <f t="shared" si="19"/>
        <v>#DIV/0!</v>
      </c>
      <c r="AK34" s="14">
        <f t="shared" si="20"/>
        <v>0</v>
      </c>
      <c r="AL34" s="46" t="e">
        <f t="shared" si="21"/>
        <v>#DIV/0!</v>
      </c>
    </row>
    <row r="35" spans="3:38">
      <c r="C35" s="44"/>
      <c r="D35" s="45"/>
      <c r="E35" s="14"/>
      <c r="F35" s="43"/>
      <c r="G35" s="14"/>
      <c r="H35" s="43"/>
      <c r="I35" s="14"/>
      <c r="J35" s="43"/>
      <c r="K35" s="14"/>
      <c r="L35" s="43"/>
      <c r="M35" s="14"/>
      <c r="N35" s="43"/>
      <c r="O35" s="14"/>
      <c r="P35" s="43"/>
      <c r="Q35" s="14"/>
      <c r="R35" s="43"/>
      <c r="S35" s="14"/>
      <c r="T35" s="43"/>
      <c r="U35" s="14"/>
      <c r="V35" s="43"/>
      <c r="W35" s="14"/>
      <c r="X35" s="43"/>
      <c r="Y35" s="14"/>
      <c r="Z35" s="43"/>
      <c r="AA35" s="14"/>
      <c r="AB35" s="43"/>
      <c r="AC35" s="35">
        <f t="shared" si="26"/>
        <v>0</v>
      </c>
      <c r="AD35" s="42">
        <f t="shared" si="27"/>
        <v>0</v>
      </c>
      <c r="AE35" s="14">
        <f t="shared" si="14"/>
        <v>0</v>
      </c>
      <c r="AF35" s="46">
        <f t="shared" si="15"/>
        <v>0</v>
      </c>
      <c r="AG35" s="14">
        <f t="shared" si="16"/>
        <v>0</v>
      </c>
      <c r="AH35" t="e">
        <f t="shared" si="17"/>
        <v>#DIV/0!</v>
      </c>
      <c r="AI35" s="14">
        <f t="shared" si="18"/>
        <v>0</v>
      </c>
      <c r="AJ35" s="46" t="e">
        <f t="shared" si="19"/>
        <v>#DIV/0!</v>
      </c>
      <c r="AK35" s="14">
        <f t="shared" si="20"/>
        <v>0</v>
      </c>
      <c r="AL35" s="46" t="e">
        <f t="shared" si="21"/>
        <v>#DIV/0!</v>
      </c>
    </row>
    <row r="36" spans="3:38">
      <c r="C36" s="44"/>
      <c r="D36" s="45"/>
      <c r="E36" s="14"/>
      <c r="F36" s="43"/>
      <c r="G36" s="14"/>
      <c r="H36" s="43"/>
      <c r="I36" s="14"/>
      <c r="J36" s="43"/>
      <c r="K36" s="14"/>
      <c r="L36" s="43"/>
      <c r="M36" s="14"/>
      <c r="N36" s="43"/>
      <c r="O36" s="14"/>
      <c r="P36" s="43"/>
      <c r="Q36" s="14"/>
      <c r="R36" s="43"/>
      <c r="S36" s="14"/>
      <c r="T36" s="43"/>
      <c r="U36" s="14"/>
      <c r="V36" s="43"/>
      <c r="W36" s="14"/>
      <c r="X36" s="43"/>
      <c r="Y36" s="14"/>
      <c r="Z36" s="43"/>
      <c r="AA36" s="14"/>
      <c r="AB36" s="43"/>
      <c r="AC36" s="35">
        <f t="shared" si="26"/>
        <v>0</v>
      </c>
      <c r="AD36" s="42">
        <f t="shared" si="27"/>
        <v>0</v>
      </c>
      <c r="AE36" s="14">
        <f t="shared" si="4"/>
        <v>0</v>
      </c>
      <c r="AF36" s="46">
        <f t="shared" si="5"/>
        <v>0</v>
      </c>
      <c r="AG36" s="14">
        <f t="shared" si="6"/>
        <v>0</v>
      </c>
      <c r="AH36" t="e">
        <f t="shared" si="7"/>
        <v>#DIV/0!</v>
      </c>
      <c r="AI36" s="14">
        <f t="shared" si="8"/>
        <v>0</v>
      </c>
      <c r="AJ36" s="46" t="e">
        <f t="shared" si="9"/>
        <v>#DIV/0!</v>
      </c>
      <c r="AK36" s="14">
        <f t="shared" si="10"/>
        <v>0</v>
      </c>
      <c r="AL36" s="46" t="e">
        <f t="shared" si="11"/>
        <v>#DIV/0!</v>
      </c>
    </row>
    <row r="37" spans="3:38">
      <c r="C37" s="44"/>
      <c r="D37" s="45"/>
      <c r="E37" s="14"/>
      <c r="F37" s="43"/>
      <c r="G37" s="14"/>
      <c r="H37" s="43"/>
      <c r="I37" s="14"/>
      <c r="J37" s="43"/>
      <c r="K37" s="14"/>
      <c r="L37" s="43"/>
      <c r="M37" s="14"/>
      <c r="N37" s="43"/>
      <c r="O37" s="14"/>
      <c r="P37" s="43"/>
      <c r="Q37" s="14"/>
      <c r="R37" s="43"/>
      <c r="S37" s="14"/>
      <c r="T37" s="43"/>
      <c r="U37" s="14"/>
      <c r="V37" s="43"/>
      <c r="W37" s="14"/>
      <c r="X37" s="43"/>
      <c r="Y37" s="14"/>
      <c r="Z37" s="43"/>
      <c r="AA37" s="14"/>
      <c r="AB37" s="43"/>
      <c r="AC37" s="35">
        <f t="shared" si="26"/>
        <v>0</v>
      </c>
      <c r="AD37" s="42">
        <f t="shared" si="27"/>
        <v>0</v>
      </c>
      <c r="AE37" s="14">
        <f t="shared" si="4"/>
        <v>0</v>
      </c>
      <c r="AF37" s="46">
        <f t="shared" si="5"/>
        <v>0</v>
      </c>
      <c r="AG37" s="14">
        <f t="shared" si="6"/>
        <v>0</v>
      </c>
      <c r="AH37" t="e">
        <f t="shared" si="7"/>
        <v>#DIV/0!</v>
      </c>
      <c r="AI37" s="14">
        <f t="shared" si="8"/>
        <v>0</v>
      </c>
      <c r="AJ37" s="46" t="e">
        <f t="shared" si="9"/>
        <v>#DIV/0!</v>
      </c>
      <c r="AK37" s="14">
        <f t="shared" si="10"/>
        <v>0</v>
      </c>
      <c r="AL37" s="46" t="e">
        <f t="shared" si="11"/>
        <v>#DIV/0!</v>
      </c>
    </row>
    <row r="38" spans="3:38">
      <c r="C38" s="44"/>
      <c r="D38" s="45"/>
      <c r="E38" s="14"/>
      <c r="F38" s="43"/>
      <c r="G38" s="14"/>
      <c r="H38" s="43"/>
      <c r="I38" s="14"/>
      <c r="J38" s="43"/>
      <c r="K38" s="14"/>
      <c r="L38" s="43"/>
      <c r="M38" s="14"/>
      <c r="N38" s="43"/>
      <c r="O38" s="14"/>
      <c r="P38" s="43"/>
      <c r="Q38" s="14"/>
      <c r="R38" s="43"/>
      <c r="S38" s="14"/>
      <c r="T38" s="43"/>
      <c r="U38" s="14"/>
      <c r="V38" s="43"/>
      <c r="W38" s="14"/>
      <c r="X38" s="43"/>
      <c r="Y38" s="14"/>
      <c r="Z38" s="43"/>
      <c r="AA38" s="14"/>
      <c r="AB38" s="43"/>
      <c r="AC38" s="35">
        <f t="shared" si="26"/>
        <v>0</v>
      </c>
      <c r="AD38" s="42">
        <f t="shared" si="27"/>
        <v>0</v>
      </c>
      <c r="AE38" s="14">
        <f t="shared" si="4"/>
        <v>0</v>
      </c>
      <c r="AF38" s="46">
        <f t="shared" si="5"/>
        <v>0</v>
      </c>
      <c r="AG38" s="14">
        <f t="shared" si="6"/>
        <v>0</v>
      </c>
      <c r="AH38" t="e">
        <f t="shared" si="7"/>
        <v>#DIV/0!</v>
      </c>
      <c r="AI38" s="14">
        <f t="shared" si="8"/>
        <v>0</v>
      </c>
      <c r="AJ38" s="46" t="e">
        <f t="shared" si="9"/>
        <v>#DIV/0!</v>
      </c>
      <c r="AK38" s="14">
        <f t="shared" si="10"/>
        <v>0</v>
      </c>
      <c r="AL38" s="46" t="e">
        <f t="shared" si="11"/>
        <v>#DIV/0!</v>
      </c>
    </row>
    <row r="39" spans="3:38">
      <c r="C39" s="44"/>
      <c r="D39" s="45"/>
      <c r="E39" s="14"/>
      <c r="F39" s="43"/>
      <c r="G39" s="14"/>
      <c r="H39" s="43"/>
      <c r="I39" s="14"/>
      <c r="J39" s="43"/>
      <c r="K39" s="14"/>
      <c r="L39" s="43"/>
      <c r="M39" s="14"/>
      <c r="N39" s="43"/>
      <c r="O39" s="14"/>
      <c r="P39" s="43"/>
      <c r="Q39" s="14"/>
      <c r="R39" s="43"/>
      <c r="S39" s="14"/>
      <c r="T39" s="43"/>
      <c r="U39" s="14"/>
      <c r="V39" s="43"/>
      <c r="W39" s="14"/>
      <c r="X39" s="43"/>
      <c r="Y39" s="14"/>
      <c r="Z39" s="43"/>
      <c r="AA39" s="14"/>
      <c r="AB39" s="43"/>
      <c r="AC39" s="35">
        <f t="shared" si="26"/>
        <v>0</v>
      </c>
      <c r="AD39" s="42">
        <f t="shared" si="27"/>
        <v>0</v>
      </c>
      <c r="AE39" s="14">
        <f t="shared" si="4"/>
        <v>0</v>
      </c>
      <c r="AF39" s="46">
        <f t="shared" si="5"/>
        <v>0</v>
      </c>
      <c r="AG39" s="14">
        <f t="shared" si="6"/>
        <v>0</v>
      </c>
      <c r="AH39" t="e">
        <f t="shared" si="7"/>
        <v>#DIV/0!</v>
      </c>
      <c r="AI39" s="14">
        <f t="shared" si="8"/>
        <v>0</v>
      </c>
      <c r="AJ39" s="46" t="e">
        <f t="shared" si="9"/>
        <v>#DIV/0!</v>
      </c>
      <c r="AK39" s="14">
        <f t="shared" si="10"/>
        <v>0</v>
      </c>
      <c r="AL39" s="46" t="e">
        <f t="shared" si="11"/>
        <v>#DIV/0!</v>
      </c>
    </row>
    <row r="40" spans="3:38">
      <c r="C40" s="44"/>
      <c r="D40" s="45"/>
      <c r="E40" s="14"/>
      <c r="F40" s="43"/>
      <c r="G40" s="14"/>
      <c r="H40" s="43"/>
      <c r="I40" s="14"/>
      <c r="J40" s="43"/>
      <c r="K40" s="14"/>
      <c r="L40" s="43"/>
      <c r="M40" s="14"/>
      <c r="N40" s="43"/>
      <c r="O40" s="14"/>
      <c r="P40" s="43"/>
      <c r="Q40" s="14"/>
      <c r="R40" s="43"/>
      <c r="S40" s="14"/>
      <c r="T40" s="43"/>
      <c r="U40" s="14"/>
      <c r="V40" s="43"/>
      <c r="W40" s="14"/>
      <c r="X40" s="43"/>
      <c r="Y40" s="14"/>
      <c r="Z40" s="43"/>
      <c r="AA40" s="14"/>
      <c r="AB40" s="43"/>
      <c r="AC40" s="35">
        <f t="shared" si="26"/>
        <v>0</v>
      </c>
      <c r="AD40" s="42">
        <f t="shared" si="27"/>
        <v>0</v>
      </c>
      <c r="AE40" s="14">
        <f t="shared" si="4"/>
        <v>0</v>
      </c>
      <c r="AF40" s="46">
        <f t="shared" si="5"/>
        <v>0</v>
      </c>
      <c r="AG40" s="14">
        <f t="shared" si="6"/>
        <v>0</v>
      </c>
      <c r="AH40" t="e">
        <f t="shared" si="7"/>
        <v>#DIV/0!</v>
      </c>
      <c r="AI40" s="14">
        <f t="shared" si="8"/>
        <v>0</v>
      </c>
      <c r="AJ40" s="46" t="e">
        <f t="shared" si="9"/>
        <v>#DIV/0!</v>
      </c>
      <c r="AK40" s="14">
        <f t="shared" si="10"/>
        <v>0</v>
      </c>
      <c r="AL40" s="46" t="e">
        <f t="shared" si="11"/>
        <v>#DIV/0!</v>
      </c>
    </row>
    <row r="41" spans="3:38">
      <c r="C41" s="44"/>
      <c r="D41" s="45"/>
      <c r="E41" s="14"/>
      <c r="F41" s="43"/>
      <c r="G41" s="14"/>
      <c r="H41" s="43"/>
      <c r="I41" s="14"/>
      <c r="J41" s="43"/>
      <c r="K41" s="14"/>
      <c r="L41" s="43"/>
      <c r="M41" s="14"/>
      <c r="N41" s="43"/>
      <c r="O41" s="14"/>
      <c r="P41" s="43"/>
      <c r="Q41" s="14"/>
      <c r="R41" s="43"/>
      <c r="S41" s="14"/>
      <c r="T41" s="43"/>
      <c r="U41" s="14"/>
      <c r="V41" s="43"/>
      <c r="W41" s="14"/>
      <c r="X41" s="43"/>
      <c r="Y41" s="14"/>
      <c r="Z41" s="43"/>
      <c r="AA41" s="14"/>
      <c r="AB41" s="43"/>
      <c r="AC41" s="35">
        <f t="shared" si="26"/>
        <v>0</v>
      </c>
      <c r="AD41" s="42">
        <f t="shared" si="27"/>
        <v>0</v>
      </c>
      <c r="AE41" s="14">
        <f t="shared" si="4"/>
        <v>0</v>
      </c>
      <c r="AF41" s="46">
        <f t="shared" si="5"/>
        <v>0</v>
      </c>
      <c r="AG41" s="14">
        <f t="shared" si="6"/>
        <v>0</v>
      </c>
      <c r="AH41" t="e">
        <f t="shared" si="7"/>
        <v>#DIV/0!</v>
      </c>
      <c r="AI41" s="14">
        <f t="shared" si="8"/>
        <v>0</v>
      </c>
      <c r="AJ41" s="46" t="e">
        <f t="shared" si="9"/>
        <v>#DIV/0!</v>
      </c>
      <c r="AK41" s="14">
        <f t="shared" si="10"/>
        <v>0</v>
      </c>
      <c r="AL41" s="46" t="e">
        <f t="shared" si="11"/>
        <v>#DIV/0!</v>
      </c>
    </row>
    <row r="42" spans="3:38">
      <c r="C42" s="44"/>
      <c r="D42" s="45"/>
      <c r="E42" s="14"/>
      <c r="F42" s="43"/>
      <c r="G42" s="14"/>
      <c r="H42" s="43"/>
      <c r="I42" s="14"/>
      <c r="J42" s="43"/>
      <c r="K42" s="14"/>
      <c r="L42" s="43"/>
      <c r="M42" s="14"/>
      <c r="N42" s="43"/>
      <c r="O42" s="14"/>
      <c r="P42" s="43"/>
      <c r="Q42" s="14"/>
      <c r="R42" s="43"/>
      <c r="S42" s="14"/>
      <c r="T42" s="43"/>
      <c r="U42" s="14"/>
      <c r="V42" s="43"/>
      <c r="W42" s="14"/>
      <c r="X42" s="43"/>
      <c r="Y42" s="14"/>
      <c r="Z42" s="43"/>
      <c r="AA42" s="14"/>
      <c r="AB42" s="43"/>
      <c r="AC42" s="35">
        <f t="shared" si="26"/>
        <v>0</v>
      </c>
      <c r="AD42" s="42">
        <f t="shared" si="27"/>
        <v>0</v>
      </c>
      <c r="AE42" s="14">
        <f t="shared" si="4"/>
        <v>0</v>
      </c>
      <c r="AF42" s="46">
        <f t="shared" si="5"/>
        <v>0</v>
      </c>
      <c r="AG42" s="14">
        <f t="shared" si="6"/>
        <v>0</v>
      </c>
      <c r="AH42" t="e">
        <f t="shared" si="7"/>
        <v>#DIV/0!</v>
      </c>
      <c r="AI42" s="14">
        <f t="shared" si="8"/>
        <v>0</v>
      </c>
      <c r="AJ42" s="46" t="e">
        <f t="shared" si="9"/>
        <v>#DIV/0!</v>
      </c>
      <c r="AK42" s="14">
        <f t="shared" si="10"/>
        <v>0</v>
      </c>
      <c r="AL42" s="46" t="e">
        <f t="shared" si="11"/>
        <v>#DIV/0!</v>
      </c>
    </row>
    <row r="43" spans="3:38">
      <c r="C43" s="44"/>
      <c r="D43" s="45"/>
      <c r="E43" s="14"/>
      <c r="F43" s="43"/>
      <c r="G43" s="14"/>
      <c r="H43" s="43"/>
      <c r="I43" s="14"/>
      <c r="J43" s="43"/>
      <c r="K43" s="14"/>
      <c r="L43" s="43"/>
      <c r="M43" s="14"/>
      <c r="N43" s="43"/>
      <c r="O43" s="14"/>
      <c r="P43" s="43"/>
      <c r="Q43" s="14"/>
      <c r="R43" s="43"/>
      <c r="S43" s="14"/>
      <c r="T43" s="43"/>
      <c r="U43" s="14"/>
      <c r="V43" s="43"/>
      <c r="W43" s="14"/>
      <c r="X43" s="43"/>
      <c r="Y43" s="14"/>
      <c r="Z43" s="43"/>
      <c r="AA43" s="14"/>
      <c r="AB43" s="43"/>
      <c r="AC43" s="35">
        <f t="shared" si="26"/>
        <v>0</v>
      </c>
      <c r="AD43" s="42">
        <f t="shared" si="27"/>
        <v>0</v>
      </c>
      <c r="AE43" s="14">
        <f t="shared" si="4"/>
        <v>0</v>
      </c>
      <c r="AF43" s="46">
        <f t="shared" si="5"/>
        <v>0</v>
      </c>
      <c r="AG43" s="14">
        <f t="shared" si="6"/>
        <v>0</v>
      </c>
      <c r="AH43" t="e">
        <f t="shared" si="7"/>
        <v>#DIV/0!</v>
      </c>
      <c r="AI43" s="14">
        <f t="shared" si="8"/>
        <v>0</v>
      </c>
      <c r="AJ43" s="46" t="e">
        <f t="shared" si="9"/>
        <v>#DIV/0!</v>
      </c>
      <c r="AK43" s="14">
        <f t="shared" si="10"/>
        <v>0</v>
      </c>
      <c r="AL43" s="46" t="e">
        <f t="shared" si="11"/>
        <v>#DIV/0!</v>
      </c>
    </row>
    <row r="44" spans="3:38">
      <c r="C44" s="44"/>
      <c r="D44" s="45"/>
      <c r="E44" s="14"/>
      <c r="F44" s="43"/>
      <c r="G44" s="14"/>
      <c r="H44" s="43"/>
      <c r="I44" s="14"/>
      <c r="J44" s="43"/>
      <c r="K44" s="14"/>
      <c r="L44" s="43"/>
      <c r="M44" s="14"/>
      <c r="N44" s="43"/>
      <c r="O44" s="14"/>
      <c r="P44" s="43"/>
      <c r="Q44" s="14"/>
      <c r="R44" s="43"/>
      <c r="S44" s="14"/>
      <c r="T44" s="43"/>
      <c r="U44" s="14"/>
      <c r="V44" s="43"/>
      <c r="W44" s="14"/>
      <c r="X44" s="43"/>
      <c r="Y44" s="14"/>
      <c r="Z44" s="43"/>
      <c r="AA44" s="14"/>
      <c r="AB44" s="43"/>
      <c r="AC44" s="35">
        <f t="shared" ref="AC44:AC45" si="28">AA44+Y44+W44+U44+S44+Q44+O44+M44+K44+I44+G44+E44</f>
        <v>0</v>
      </c>
      <c r="AD44" s="42">
        <f t="shared" ref="AD44:AD45" si="29">AB44+Z44+X44+V44+T44+R44+P44+N44+L44+J44+H44+F44</f>
        <v>0</v>
      </c>
      <c r="AE44" s="14">
        <f t="shared" si="4"/>
        <v>0</v>
      </c>
      <c r="AF44" s="46">
        <f t="shared" si="5"/>
        <v>0</v>
      </c>
      <c r="AG44" s="14">
        <f t="shared" si="6"/>
        <v>0</v>
      </c>
      <c r="AH44" t="e">
        <f t="shared" si="7"/>
        <v>#DIV/0!</v>
      </c>
      <c r="AI44" s="14">
        <f t="shared" si="8"/>
        <v>0</v>
      </c>
      <c r="AJ44" s="46" t="e">
        <f t="shared" si="9"/>
        <v>#DIV/0!</v>
      </c>
      <c r="AK44" s="14">
        <f t="shared" si="10"/>
        <v>0</v>
      </c>
      <c r="AL44" s="46" t="e">
        <f t="shared" si="11"/>
        <v>#DIV/0!</v>
      </c>
    </row>
    <row r="45" spans="3:38">
      <c r="C45" s="44"/>
      <c r="D45" s="45"/>
      <c r="E45" s="14"/>
      <c r="F45" s="43"/>
      <c r="G45" s="14"/>
      <c r="H45" s="43"/>
      <c r="I45" s="14"/>
      <c r="J45" s="43"/>
      <c r="K45" s="14"/>
      <c r="L45" s="43"/>
      <c r="M45" s="14"/>
      <c r="N45" s="43"/>
      <c r="O45" s="14"/>
      <c r="P45" s="43"/>
      <c r="Q45" s="14"/>
      <c r="R45" s="43"/>
      <c r="S45" s="14"/>
      <c r="T45" s="43"/>
      <c r="U45" s="14"/>
      <c r="V45" s="43"/>
      <c r="W45" s="14"/>
      <c r="X45" s="43"/>
      <c r="Y45" s="14"/>
      <c r="Z45" s="43"/>
      <c r="AA45" s="14"/>
      <c r="AB45" s="43"/>
      <c r="AC45" s="35">
        <f t="shared" si="28"/>
        <v>0</v>
      </c>
      <c r="AD45" s="42">
        <f t="shared" si="29"/>
        <v>0</v>
      </c>
      <c r="AE45" s="14">
        <f t="shared" si="4"/>
        <v>0</v>
      </c>
      <c r="AF45" s="46">
        <f t="shared" si="5"/>
        <v>0</v>
      </c>
      <c r="AG45" s="14">
        <f t="shared" si="6"/>
        <v>0</v>
      </c>
      <c r="AH45" t="e">
        <f t="shared" si="7"/>
        <v>#DIV/0!</v>
      </c>
      <c r="AI45" s="14">
        <f t="shared" si="8"/>
        <v>0</v>
      </c>
      <c r="AJ45" s="46" t="e">
        <f t="shared" si="9"/>
        <v>#DIV/0!</v>
      </c>
      <c r="AK45" s="14">
        <f t="shared" si="10"/>
        <v>0</v>
      </c>
      <c r="AL45" s="46" t="e">
        <f t="shared" si="11"/>
        <v>#DIV/0!</v>
      </c>
    </row>
    <row r="46" spans="3:38">
      <c r="C46" s="44"/>
      <c r="D46" s="45"/>
      <c r="E46" s="14"/>
      <c r="F46" s="43"/>
      <c r="G46" s="14"/>
      <c r="H46" s="43"/>
      <c r="I46" s="14"/>
      <c r="J46" s="43"/>
      <c r="K46" s="14"/>
      <c r="L46" s="43"/>
      <c r="M46" s="14"/>
      <c r="N46" s="43"/>
      <c r="O46" s="14"/>
      <c r="P46" s="43"/>
      <c r="Q46" s="14"/>
      <c r="R46" s="43"/>
      <c r="S46" s="14"/>
      <c r="T46" s="43"/>
      <c r="U46" s="14"/>
      <c r="V46" s="43"/>
      <c r="W46" s="14"/>
      <c r="X46" s="43"/>
      <c r="Y46" s="14"/>
      <c r="Z46" s="43"/>
      <c r="AA46" s="14"/>
      <c r="AB46" s="43"/>
      <c r="AC46" s="35">
        <f t="shared" si="26"/>
        <v>0</v>
      </c>
      <c r="AD46" s="42">
        <f t="shared" si="27"/>
        <v>0</v>
      </c>
      <c r="AE46" s="14">
        <f t="shared" si="4"/>
        <v>0</v>
      </c>
      <c r="AF46" s="46">
        <f t="shared" si="5"/>
        <v>0</v>
      </c>
      <c r="AG46" s="14">
        <f t="shared" si="6"/>
        <v>0</v>
      </c>
      <c r="AH46" t="e">
        <f t="shared" si="7"/>
        <v>#DIV/0!</v>
      </c>
      <c r="AI46" s="14">
        <f t="shared" si="8"/>
        <v>0</v>
      </c>
      <c r="AJ46" s="46" t="e">
        <f t="shared" si="9"/>
        <v>#DIV/0!</v>
      </c>
      <c r="AK46" s="14">
        <f t="shared" si="10"/>
        <v>0</v>
      </c>
      <c r="AL46" s="46" t="e">
        <f t="shared" si="11"/>
        <v>#DIV/0!</v>
      </c>
    </row>
    <row r="47" spans="3:38">
      <c r="C47" s="44"/>
      <c r="D47" s="45"/>
      <c r="E47" s="14"/>
      <c r="F47" s="43"/>
      <c r="G47" s="14"/>
      <c r="H47" s="43"/>
      <c r="I47" s="14"/>
      <c r="J47" s="43"/>
      <c r="K47" s="14"/>
      <c r="L47" s="43"/>
      <c r="M47" s="14"/>
      <c r="N47" s="43"/>
      <c r="O47" s="14"/>
      <c r="P47" s="43"/>
      <c r="Q47" s="14"/>
      <c r="R47" s="43"/>
      <c r="S47" s="14"/>
      <c r="T47" s="43"/>
      <c r="U47" s="14"/>
      <c r="V47" s="43"/>
      <c r="W47" s="14"/>
      <c r="X47" s="43"/>
      <c r="Y47" s="14"/>
      <c r="Z47" s="43"/>
      <c r="AA47" s="14"/>
      <c r="AB47" s="43"/>
      <c r="AC47" s="35">
        <f t="shared" si="26"/>
        <v>0</v>
      </c>
      <c r="AD47" s="42">
        <f t="shared" si="27"/>
        <v>0</v>
      </c>
      <c r="AE47" s="14">
        <f t="shared" si="4"/>
        <v>0</v>
      </c>
      <c r="AF47" s="46">
        <f t="shared" si="5"/>
        <v>0</v>
      </c>
      <c r="AG47" s="14">
        <f t="shared" si="6"/>
        <v>0</v>
      </c>
      <c r="AH47" t="e">
        <f t="shared" si="7"/>
        <v>#DIV/0!</v>
      </c>
      <c r="AI47" s="14">
        <f t="shared" si="8"/>
        <v>0</v>
      </c>
      <c r="AJ47" s="46" t="e">
        <f t="shared" si="9"/>
        <v>#DIV/0!</v>
      </c>
      <c r="AK47" s="14">
        <f t="shared" si="10"/>
        <v>0</v>
      </c>
      <c r="AL47" s="46" t="e">
        <f t="shared" si="11"/>
        <v>#DIV/0!</v>
      </c>
    </row>
    <row r="48" spans="3:38">
      <c r="C48" s="44"/>
      <c r="D48" s="45"/>
      <c r="E48" s="14"/>
      <c r="F48" s="43"/>
      <c r="G48" s="14"/>
      <c r="H48" s="43"/>
      <c r="I48" s="14"/>
      <c r="J48" s="43"/>
      <c r="K48" s="14"/>
      <c r="L48" s="43"/>
      <c r="M48" s="14"/>
      <c r="N48" s="43"/>
      <c r="O48" s="14"/>
      <c r="P48" s="43"/>
      <c r="Q48" s="14"/>
      <c r="R48" s="43"/>
      <c r="S48" s="14"/>
      <c r="T48" s="43"/>
      <c r="U48" s="14"/>
      <c r="V48" s="43"/>
      <c r="W48" s="14"/>
      <c r="X48" s="43"/>
      <c r="Y48" s="14"/>
      <c r="Z48" s="43"/>
      <c r="AA48" s="14"/>
      <c r="AB48" s="43"/>
      <c r="AC48" s="35">
        <f t="shared" si="26"/>
        <v>0</v>
      </c>
      <c r="AD48" s="42">
        <f t="shared" si="27"/>
        <v>0</v>
      </c>
      <c r="AE48" s="14">
        <f t="shared" si="4"/>
        <v>0</v>
      </c>
      <c r="AF48" s="46">
        <f t="shared" si="5"/>
        <v>0</v>
      </c>
      <c r="AG48" s="14">
        <f t="shared" si="6"/>
        <v>0</v>
      </c>
      <c r="AH48" t="e">
        <f t="shared" si="7"/>
        <v>#DIV/0!</v>
      </c>
      <c r="AI48" s="14">
        <f t="shared" si="8"/>
        <v>0</v>
      </c>
      <c r="AJ48" s="46" t="e">
        <f t="shared" si="9"/>
        <v>#DIV/0!</v>
      </c>
      <c r="AK48" s="14">
        <f t="shared" si="10"/>
        <v>0</v>
      </c>
      <c r="AL48" s="46" t="e">
        <f t="shared" si="11"/>
        <v>#DIV/0!</v>
      </c>
    </row>
    <row r="49" spans="3:38">
      <c r="C49" s="44"/>
      <c r="D49" s="45"/>
      <c r="E49" s="14"/>
      <c r="F49" s="43"/>
      <c r="G49" s="14"/>
      <c r="H49" s="43"/>
      <c r="I49" s="14"/>
      <c r="J49" s="43"/>
      <c r="K49" s="14"/>
      <c r="L49" s="43"/>
      <c r="M49" s="14"/>
      <c r="N49" s="43"/>
      <c r="O49" s="14"/>
      <c r="P49" s="43"/>
      <c r="Q49" s="14"/>
      <c r="R49" s="43"/>
      <c r="S49" s="14"/>
      <c r="T49" s="43"/>
      <c r="U49" s="14"/>
      <c r="V49" s="43"/>
      <c r="W49" s="14"/>
      <c r="X49" s="43"/>
      <c r="Y49" s="14"/>
      <c r="Z49" s="43"/>
      <c r="AA49" s="14"/>
      <c r="AB49" s="43"/>
      <c r="AC49" s="35">
        <f t="shared" ref="AC49:AC112" si="30">AA49+Y49+W49+U49+S49+Q49+O49+M49+K49+I49+G49+E49</f>
        <v>0</v>
      </c>
      <c r="AD49" s="42">
        <f t="shared" ref="AD49:AD112" si="31">AB49+Z49+X49+V49+T49+R49+P49+N49+L49+J49+H49+F49</f>
        <v>0</v>
      </c>
      <c r="AE49" s="14">
        <f t="shared" si="4"/>
        <v>0</v>
      </c>
      <c r="AF49" s="46">
        <f t="shared" si="5"/>
        <v>0</v>
      </c>
      <c r="AG49" s="14">
        <f t="shared" si="6"/>
        <v>0</v>
      </c>
      <c r="AH49" t="e">
        <f t="shared" si="7"/>
        <v>#DIV/0!</v>
      </c>
      <c r="AI49" s="14">
        <f t="shared" si="8"/>
        <v>0</v>
      </c>
      <c r="AJ49" s="46" t="e">
        <f t="shared" si="9"/>
        <v>#DIV/0!</v>
      </c>
      <c r="AK49" s="14">
        <f t="shared" si="10"/>
        <v>0</v>
      </c>
      <c r="AL49" s="46" t="e">
        <f t="shared" si="11"/>
        <v>#DIV/0!</v>
      </c>
    </row>
    <row r="50" spans="3:38">
      <c r="C50" s="44"/>
      <c r="D50" s="45"/>
      <c r="E50" s="14"/>
      <c r="F50" s="43"/>
      <c r="G50" s="14"/>
      <c r="H50" s="43"/>
      <c r="I50" s="14"/>
      <c r="J50" s="43"/>
      <c r="K50" s="14"/>
      <c r="L50" s="43"/>
      <c r="M50" s="14"/>
      <c r="N50" s="43"/>
      <c r="O50" s="14"/>
      <c r="P50" s="43"/>
      <c r="Q50" s="14"/>
      <c r="R50" s="43"/>
      <c r="S50" s="14"/>
      <c r="T50" s="43"/>
      <c r="U50" s="14"/>
      <c r="V50" s="43"/>
      <c r="W50" s="14"/>
      <c r="X50" s="43"/>
      <c r="Y50" s="14"/>
      <c r="Z50" s="43"/>
      <c r="AA50" s="14"/>
      <c r="AB50" s="43"/>
      <c r="AC50" s="35">
        <f t="shared" si="30"/>
        <v>0</v>
      </c>
      <c r="AD50" s="42">
        <f t="shared" si="31"/>
        <v>0</v>
      </c>
      <c r="AE50" s="14">
        <f t="shared" si="4"/>
        <v>0</v>
      </c>
      <c r="AF50" s="46">
        <f t="shared" si="5"/>
        <v>0</v>
      </c>
      <c r="AG50" s="14">
        <f t="shared" si="6"/>
        <v>0</v>
      </c>
      <c r="AH50" t="e">
        <f t="shared" si="7"/>
        <v>#DIV/0!</v>
      </c>
      <c r="AI50" s="14">
        <f t="shared" si="8"/>
        <v>0</v>
      </c>
      <c r="AJ50" s="46" t="e">
        <f t="shared" si="9"/>
        <v>#DIV/0!</v>
      </c>
      <c r="AK50" s="14">
        <f t="shared" si="10"/>
        <v>0</v>
      </c>
      <c r="AL50" s="46" t="e">
        <f t="shared" si="11"/>
        <v>#DIV/0!</v>
      </c>
    </row>
    <row r="51" spans="3:38">
      <c r="C51" s="44"/>
      <c r="D51" s="45"/>
      <c r="E51" s="14"/>
      <c r="F51" s="43"/>
      <c r="G51" s="14"/>
      <c r="H51" s="43"/>
      <c r="I51" s="14"/>
      <c r="J51" s="43"/>
      <c r="K51" s="14"/>
      <c r="L51" s="43"/>
      <c r="M51" s="14"/>
      <c r="N51" s="43"/>
      <c r="O51" s="14"/>
      <c r="P51" s="43"/>
      <c r="Q51" s="14"/>
      <c r="R51" s="43"/>
      <c r="S51" s="14"/>
      <c r="T51" s="43"/>
      <c r="U51" s="14"/>
      <c r="V51" s="43"/>
      <c r="W51" s="14"/>
      <c r="X51" s="43"/>
      <c r="Y51" s="14"/>
      <c r="Z51" s="43"/>
      <c r="AA51" s="14"/>
      <c r="AB51" s="43"/>
      <c r="AC51" s="35">
        <f t="shared" si="30"/>
        <v>0</v>
      </c>
      <c r="AD51" s="42">
        <f t="shared" si="31"/>
        <v>0</v>
      </c>
      <c r="AE51" s="14">
        <f t="shared" si="4"/>
        <v>0</v>
      </c>
      <c r="AF51" s="46">
        <f t="shared" si="5"/>
        <v>0</v>
      </c>
      <c r="AG51" s="14">
        <f t="shared" si="6"/>
        <v>0</v>
      </c>
      <c r="AH51" t="e">
        <f t="shared" si="7"/>
        <v>#DIV/0!</v>
      </c>
      <c r="AI51" s="14">
        <f t="shared" si="8"/>
        <v>0</v>
      </c>
      <c r="AJ51" s="46" t="e">
        <f t="shared" si="9"/>
        <v>#DIV/0!</v>
      </c>
      <c r="AK51" s="14">
        <f t="shared" si="10"/>
        <v>0</v>
      </c>
      <c r="AL51" s="46" t="e">
        <f t="shared" si="11"/>
        <v>#DIV/0!</v>
      </c>
    </row>
    <row r="52" spans="3:38">
      <c r="C52" s="44"/>
      <c r="D52" s="45"/>
      <c r="E52" s="14"/>
      <c r="F52" s="43"/>
      <c r="G52" s="14"/>
      <c r="H52" s="43"/>
      <c r="I52" s="14"/>
      <c r="J52" s="43"/>
      <c r="K52" s="14"/>
      <c r="L52" s="43"/>
      <c r="M52" s="14"/>
      <c r="N52" s="43"/>
      <c r="O52" s="14"/>
      <c r="P52" s="43"/>
      <c r="Q52" s="14"/>
      <c r="R52" s="43"/>
      <c r="S52" s="14"/>
      <c r="T52" s="43"/>
      <c r="U52" s="14"/>
      <c r="V52" s="43"/>
      <c r="W52" s="14"/>
      <c r="X52" s="43"/>
      <c r="Y52" s="14"/>
      <c r="Z52" s="43"/>
      <c r="AA52" s="14"/>
      <c r="AB52" s="43"/>
      <c r="AC52" s="35">
        <f t="shared" si="30"/>
        <v>0</v>
      </c>
      <c r="AD52" s="42">
        <f t="shared" si="31"/>
        <v>0</v>
      </c>
      <c r="AE52" s="14">
        <f t="shared" si="4"/>
        <v>0</v>
      </c>
      <c r="AF52" s="46">
        <f t="shared" si="5"/>
        <v>0</v>
      </c>
      <c r="AG52" s="14">
        <f t="shared" si="6"/>
        <v>0</v>
      </c>
      <c r="AH52" t="e">
        <f t="shared" si="7"/>
        <v>#DIV/0!</v>
      </c>
      <c r="AI52" s="14">
        <f t="shared" si="8"/>
        <v>0</v>
      </c>
      <c r="AJ52" s="46" t="e">
        <f t="shared" si="9"/>
        <v>#DIV/0!</v>
      </c>
      <c r="AK52" s="14">
        <f t="shared" si="10"/>
        <v>0</v>
      </c>
      <c r="AL52" s="46" t="e">
        <f t="shared" si="11"/>
        <v>#DIV/0!</v>
      </c>
    </row>
    <row r="53" spans="3:38">
      <c r="C53" s="44"/>
      <c r="D53" s="45"/>
      <c r="E53" s="14"/>
      <c r="F53" s="43"/>
      <c r="G53" s="14"/>
      <c r="H53" s="43"/>
      <c r="I53" s="14"/>
      <c r="J53" s="43"/>
      <c r="K53" s="14"/>
      <c r="L53" s="43"/>
      <c r="M53" s="14"/>
      <c r="N53" s="43"/>
      <c r="O53" s="14"/>
      <c r="P53" s="43"/>
      <c r="Q53" s="14"/>
      <c r="R53" s="43"/>
      <c r="S53" s="14"/>
      <c r="T53" s="43"/>
      <c r="U53" s="14"/>
      <c r="V53" s="43"/>
      <c r="W53" s="14"/>
      <c r="X53" s="43"/>
      <c r="Y53" s="14"/>
      <c r="Z53" s="43"/>
      <c r="AA53" s="14"/>
      <c r="AB53" s="43"/>
      <c r="AC53" s="35">
        <f t="shared" si="30"/>
        <v>0</v>
      </c>
      <c r="AD53" s="42">
        <f t="shared" si="31"/>
        <v>0</v>
      </c>
      <c r="AE53" s="14">
        <f t="shared" si="4"/>
        <v>0</v>
      </c>
      <c r="AF53" s="46">
        <f t="shared" si="5"/>
        <v>0</v>
      </c>
      <c r="AG53" s="14">
        <f t="shared" si="6"/>
        <v>0</v>
      </c>
      <c r="AH53" t="e">
        <f t="shared" si="7"/>
        <v>#DIV/0!</v>
      </c>
      <c r="AI53" s="14">
        <f t="shared" si="8"/>
        <v>0</v>
      </c>
      <c r="AJ53" s="46" t="e">
        <f t="shared" si="9"/>
        <v>#DIV/0!</v>
      </c>
      <c r="AK53" s="14">
        <f t="shared" si="10"/>
        <v>0</v>
      </c>
      <c r="AL53" s="46" t="e">
        <f t="shared" si="11"/>
        <v>#DIV/0!</v>
      </c>
    </row>
    <row r="54" spans="3:38">
      <c r="C54" s="44"/>
      <c r="D54" s="45"/>
      <c r="E54" s="14"/>
      <c r="F54" s="43"/>
      <c r="G54" s="14"/>
      <c r="H54" s="43"/>
      <c r="I54" s="14"/>
      <c r="J54" s="43"/>
      <c r="K54" s="14"/>
      <c r="L54" s="43"/>
      <c r="M54" s="14"/>
      <c r="N54" s="43"/>
      <c r="O54" s="14"/>
      <c r="P54" s="43"/>
      <c r="Q54" s="14"/>
      <c r="R54" s="43"/>
      <c r="S54" s="14"/>
      <c r="T54" s="43"/>
      <c r="U54" s="14"/>
      <c r="V54" s="43"/>
      <c r="W54" s="14"/>
      <c r="X54" s="43"/>
      <c r="Y54" s="14"/>
      <c r="Z54" s="43"/>
      <c r="AA54" s="14"/>
      <c r="AB54" s="43"/>
      <c r="AC54" s="35">
        <f t="shared" si="30"/>
        <v>0</v>
      </c>
      <c r="AD54" s="42">
        <f t="shared" si="31"/>
        <v>0</v>
      </c>
      <c r="AE54" s="14">
        <f t="shared" si="4"/>
        <v>0</v>
      </c>
      <c r="AF54" s="46">
        <f t="shared" si="5"/>
        <v>0</v>
      </c>
      <c r="AG54" s="14">
        <f t="shared" si="6"/>
        <v>0</v>
      </c>
      <c r="AH54" t="e">
        <f t="shared" si="7"/>
        <v>#DIV/0!</v>
      </c>
      <c r="AI54" s="14">
        <f t="shared" si="8"/>
        <v>0</v>
      </c>
      <c r="AJ54" s="46" t="e">
        <f t="shared" si="9"/>
        <v>#DIV/0!</v>
      </c>
      <c r="AK54" s="14">
        <f t="shared" si="10"/>
        <v>0</v>
      </c>
      <c r="AL54" s="46" t="e">
        <f t="shared" si="11"/>
        <v>#DIV/0!</v>
      </c>
    </row>
    <row r="55" spans="3:38">
      <c r="C55" s="44"/>
      <c r="D55" s="45"/>
      <c r="E55" s="14"/>
      <c r="F55" s="43"/>
      <c r="G55" s="14"/>
      <c r="H55" s="43"/>
      <c r="I55" s="14"/>
      <c r="J55" s="43"/>
      <c r="K55" s="14"/>
      <c r="L55" s="43"/>
      <c r="M55" s="14"/>
      <c r="N55" s="43"/>
      <c r="O55" s="14"/>
      <c r="P55" s="43"/>
      <c r="Q55" s="14"/>
      <c r="R55" s="43"/>
      <c r="S55" s="14"/>
      <c r="T55" s="43"/>
      <c r="U55" s="14"/>
      <c r="V55" s="43"/>
      <c r="W55" s="14"/>
      <c r="X55" s="43"/>
      <c r="Y55" s="14"/>
      <c r="Z55" s="43"/>
      <c r="AA55" s="14"/>
      <c r="AB55" s="43"/>
      <c r="AC55" s="35">
        <f t="shared" si="30"/>
        <v>0</v>
      </c>
      <c r="AD55" s="42">
        <f t="shared" si="31"/>
        <v>0</v>
      </c>
      <c r="AE55" s="14">
        <f t="shared" si="4"/>
        <v>0</v>
      </c>
      <c r="AF55" s="46">
        <f t="shared" si="5"/>
        <v>0</v>
      </c>
      <c r="AG55" s="14">
        <f t="shared" si="6"/>
        <v>0</v>
      </c>
      <c r="AH55" t="e">
        <f t="shared" si="7"/>
        <v>#DIV/0!</v>
      </c>
      <c r="AI55" s="14">
        <f t="shared" si="8"/>
        <v>0</v>
      </c>
      <c r="AJ55" s="46" t="e">
        <f t="shared" si="9"/>
        <v>#DIV/0!</v>
      </c>
      <c r="AK55" s="14">
        <f t="shared" si="10"/>
        <v>0</v>
      </c>
      <c r="AL55" s="46" t="e">
        <f t="shared" si="11"/>
        <v>#DIV/0!</v>
      </c>
    </row>
    <row r="56" spans="3:38">
      <c r="C56" s="44"/>
      <c r="D56" s="45"/>
      <c r="E56" s="14"/>
      <c r="F56" s="43"/>
      <c r="G56" s="14"/>
      <c r="H56" s="43"/>
      <c r="I56" s="14"/>
      <c r="J56" s="43"/>
      <c r="K56" s="14"/>
      <c r="L56" s="43"/>
      <c r="M56" s="14"/>
      <c r="N56" s="43"/>
      <c r="O56" s="14"/>
      <c r="P56" s="43"/>
      <c r="Q56" s="14"/>
      <c r="R56" s="43"/>
      <c r="S56" s="14"/>
      <c r="T56" s="43"/>
      <c r="U56" s="14"/>
      <c r="V56" s="43"/>
      <c r="W56" s="14"/>
      <c r="X56" s="43"/>
      <c r="Y56" s="14"/>
      <c r="Z56" s="43"/>
      <c r="AA56" s="14"/>
      <c r="AB56" s="43"/>
      <c r="AC56" s="35">
        <f t="shared" si="30"/>
        <v>0</v>
      </c>
      <c r="AD56" s="42">
        <f t="shared" si="31"/>
        <v>0</v>
      </c>
      <c r="AE56" s="14">
        <f t="shared" si="4"/>
        <v>0</v>
      </c>
      <c r="AF56" s="46">
        <f t="shared" si="5"/>
        <v>0</v>
      </c>
      <c r="AG56" s="14">
        <f t="shared" si="6"/>
        <v>0</v>
      </c>
      <c r="AH56" t="e">
        <f t="shared" si="7"/>
        <v>#DIV/0!</v>
      </c>
      <c r="AI56" s="14">
        <f t="shared" si="8"/>
        <v>0</v>
      </c>
      <c r="AJ56" s="46" t="e">
        <f t="shared" si="9"/>
        <v>#DIV/0!</v>
      </c>
      <c r="AK56" s="14">
        <f t="shared" si="10"/>
        <v>0</v>
      </c>
      <c r="AL56" s="46" t="e">
        <f t="shared" si="11"/>
        <v>#DIV/0!</v>
      </c>
    </row>
    <row r="57" spans="3:38">
      <c r="C57" s="44"/>
      <c r="D57" s="45"/>
      <c r="E57" s="14"/>
      <c r="F57" s="43"/>
      <c r="G57" s="14"/>
      <c r="H57" s="43"/>
      <c r="I57" s="14"/>
      <c r="J57" s="43"/>
      <c r="K57" s="14"/>
      <c r="L57" s="43"/>
      <c r="M57" s="14"/>
      <c r="N57" s="43"/>
      <c r="O57" s="14"/>
      <c r="P57" s="43"/>
      <c r="Q57" s="14"/>
      <c r="R57" s="43"/>
      <c r="S57" s="14"/>
      <c r="T57" s="43"/>
      <c r="U57" s="14"/>
      <c r="V57" s="43"/>
      <c r="W57" s="14"/>
      <c r="X57" s="43"/>
      <c r="Y57" s="14"/>
      <c r="Z57" s="43"/>
      <c r="AA57" s="14"/>
      <c r="AB57" s="43"/>
      <c r="AC57" s="35">
        <f t="shared" si="30"/>
        <v>0</v>
      </c>
      <c r="AD57" s="42">
        <f t="shared" si="31"/>
        <v>0</v>
      </c>
      <c r="AE57" s="14">
        <f t="shared" si="4"/>
        <v>0</v>
      </c>
      <c r="AF57" s="46">
        <f t="shared" si="5"/>
        <v>0</v>
      </c>
      <c r="AG57" s="14">
        <f t="shared" si="6"/>
        <v>0</v>
      </c>
      <c r="AH57" t="e">
        <f t="shared" si="7"/>
        <v>#DIV/0!</v>
      </c>
      <c r="AI57" s="14">
        <f t="shared" si="8"/>
        <v>0</v>
      </c>
      <c r="AJ57" s="46" t="e">
        <f t="shared" si="9"/>
        <v>#DIV/0!</v>
      </c>
      <c r="AK57" s="14">
        <f t="shared" si="10"/>
        <v>0</v>
      </c>
      <c r="AL57" s="46" t="e">
        <f t="shared" si="11"/>
        <v>#DIV/0!</v>
      </c>
    </row>
    <row r="58" spans="3:38">
      <c r="C58" s="44"/>
      <c r="D58" s="45"/>
      <c r="E58" s="14"/>
      <c r="F58" s="43"/>
      <c r="G58" s="14"/>
      <c r="H58" s="43"/>
      <c r="I58" s="14"/>
      <c r="J58" s="43"/>
      <c r="K58" s="14"/>
      <c r="L58" s="43"/>
      <c r="M58" s="14"/>
      <c r="N58" s="43"/>
      <c r="O58" s="14"/>
      <c r="P58" s="43"/>
      <c r="Q58" s="14"/>
      <c r="R58" s="43"/>
      <c r="S58" s="14"/>
      <c r="T58" s="43"/>
      <c r="U58" s="14"/>
      <c r="V58" s="43"/>
      <c r="W58" s="14"/>
      <c r="X58" s="43"/>
      <c r="Y58" s="14"/>
      <c r="Z58" s="43"/>
      <c r="AA58" s="14"/>
      <c r="AB58" s="43"/>
      <c r="AC58" s="35">
        <f t="shared" si="30"/>
        <v>0</v>
      </c>
      <c r="AD58" s="42">
        <f t="shared" si="31"/>
        <v>0</v>
      </c>
      <c r="AE58" s="14">
        <f t="shared" si="4"/>
        <v>0</v>
      </c>
      <c r="AF58" s="46">
        <f t="shared" si="5"/>
        <v>0</v>
      </c>
      <c r="AG58" s="14">
        <f t="shared" si="6"/>
        <v>0</v>
      </c>
      <c r="AH58" t="e">
        <f t="shared" si="7"/>
        <v>#DIV/0!</v>
      </c>
      <c r="AI58" s="14">
        <f t="shared" si="8"/>
        <v>0</v>
      </c>
      <c r="AJ58" s="46" t="e">
        <f t="shared" si="9"/>
        <v>#DIV/0!</v>
      </c>
      <c r="AK58" s="14">
        <f t="shared" si="10"/>
        <v>0</v>
      </c>
      <c r="AL58" s="46" t="e">
        <f t="shared" si="11"/>
        <v>#DIV/0!</v>
      </c>
    </row>
    <row r="59" spans="3:38">
      <c r="C59" s="44"/>
      <c r="D59" s="45"/>
      <c r="E59" s="14"/>
      <c r="F59" s="43"/>
      <c r="G59" s="14"/>
      <c r="H59" s="43"/>
      <c r="I59" s="14"/>
      <c r="J59" s="43"/>
      <c r="K59" s="14"/>
      <c r="L59" s="43"/>
      <c r="M59" s="14"/>
      <c r="N59" s="43"/>
      <c r="O59" s="14"/>
      <c r="P59" s="43"/>
      <c r="Q59" s="14"/>
      <c r="R59" s="43"/>
      <c r="S59" s="14"/>
      <c r="T59" s="43"/>
      <c r="U59" s="14"/>
      <c r="V59" s="43"/>
      <c r="W59" s="14"/>
      <c r="X59" s="43"/>
      <c r="Y59" s="14"/>
      <c r="Z59" s="43"/>
      <c r="AA59" s="14"/>
      <c r="AB59" s="43"/>
      <c r="AC59" s="35">
        <f t="shared" si="30"/>
        <v>0</v>
      </c>
      <c r="AD59" s="42">
        <f t="shared" si="31"/>
        <v>0</v>
      </c>
      <c r="AE59" s="14">
        <f t="shared" si="4"/>
        <v>0</v>
      </c>
      <c r="AF59" s="46">
        <f t="shared" si="5"/>
        <v>0</v>
      </c>
      <c r="AG59" s="14">
        <f t="shared" si="6"/>
        <v>0</v>
      </c>
      <c r="AH59" t="e">
        <f t="shared" si="7"/>
        <v>#DIV/0!</v>
      </c>
      <c r="AI59" s="14">
        <f t="shared" si="8"/>
        <v>0</v>
      </c>
      <c r="AJ59" s="46" t="e">
        <f t="shared" si="9"/>
        <v>#DIV/0!</v>
      </c>
      <c r="AK59" s="14">
        <f t="shared" si="10"/>
        <v>0</v>
      </c>
      <c r="AL59" s="46" t="e">
        <f t="shared" si="11"/>
        <v>#DIV/0!</v>
      </c>
    </row>
    <row r="60" spans="3:38">
      <c r="C60" s="44"/>
      <c r="D60" s="45"/>
      <c r="E60" s="14"/>
      <c r="F60" s="43"/>
      <c r="G60" s="14"/>
      <c r="H60" s="43"/>
      <c r="I60" s="14"/>
      <c r="J60" s="43"/>
      <c r="K60" s="14"/>
      <c r="L60" s="43"/>
      <c r="M60" s="14"/>
      <c r="N60" s="43"/>
      <c r="O60" s="14"/>
      <c r="P60" s="43"/>
      <c r="Q60" s="14"/>
      <c r="R60" s="43"/>
      <c r="S60" s="14"/>
      <c r="T60" s="43"/>
      <c r="U60" s="14"/>
      <c r="V60" s="43"/>
      <c r="W60" s="14"/>
      <c r="X60" s="43"/>
      <c r="Y60" s="14"/>
      <c r="Z60" s="43"/>
      <c r="AA60" s="14"/>
      <c r="AB60" s="43"/>
      <c r="AC60" s="35">
        <f t="shared" si="30"/>
        <v>0</v>
      </c>
      <c r="AD60" s="42">
        <f t="shared" si="31"/>
        <v>0</v>
      </c>
      <c r="AE60" s="14">
        <f t="shared" si="4"/>
        <v>0</v>
      </c>
      <c r="AF60" s="46">
        <f t="shared" si="5"/>
        <v>0</v>
      </c>
      <c r="AG60" s="14">
        <f t="shared" si="6"/>
        <v>0</v>
      </c>
      <c r="AH60" t="e">
        <f t="shared" si="7"/>
        <v>#DIV/0!</v>
      </c>
      <c r="AI60" s="14">
        <f t="shared" si="8"/>
        <v>0</v>
      </c>
      <c r="AJ60" s="46" t="e">
        <f t="shared" si="9"/>
        <v>#DIV/0!</v>
      </c>
      <c r="AK60" s="14">
        <f t="shared" si="10"/>
        <v>0</v>
      </c>
      <c r="AL60" s="46" t="e">
        <f t="shared" si="11"/>
        <v>#DIV/0!</v>
      </c>
    </row>
    <row r="61" spans="3:38">
      <c r="C61" s="44"/>
      <c r="D61" s="45"/>
      <c r="E61" s="14"/>
      <c r="F61" s="43"/>
      <c r="G61" s="14"/>
      <c r="H61" s="43"/>
      <c r="I61" s="14"/>
      <c r="J61" s="43"/>
      <c r="K61" s="14"/>
      <c r="L61" s="43"/>
      <c r="M61" s="14"/>
      <c r="N61" s="43"/>
      <c r="O61" s="14"/>
      <c r="P61" s="43"/>
      <c r="Q61" s="14"/>
      <c r="R61" s="43"/>
      <c r="S61" s="14"/>
      <c r="T61" s="43"/>
      <c r="U61" s="14"/>
      <c r="V61" s="43"/>
      <c r="W61" s="14"/>
      <c r="X61" s="43"/>
      <c r="Y61" s="14"/>
      <c r="Z61" s="43"/>
      <c r="AA61" s="14"/>
      <c r="AB61" s="43"/>
      <c r="AC61" s="35">
        <f t="shared" si="30"/>
        <v>0</v>
      </c>
      <c r="AD61" s="42">
        <f t="shared" si="31"/>
        <v>0</v>
      </c>
      <c r="AE61" s="14">
        <f t="shared" si="4"/>
        <v>0</v>
      </c>
      <c r="AF61" s="46">
        <f t="shared" si="5"/>
        <v>0</v>
      </c>
      <c r="AG61" s="14">
        <f t="shared" si="6"/>
        <v>0</v>
      </c>
      <c r="AH61" t="e">
        <f t="shared" si="7"/>
        <v>#DIV/0!</v>
      </c>
      <c r="AI61" s="14">
        <f t="shared" si="8"/>
        <v>0</v>
      </c>
      <c r="AJ61" s="46" t="e">
        <f t="shared" si="9"/>
        <v>#DIV/0!</v>
      </c>
      <c r="AK61" s="14">
        <f t="shared" si="10"/>
        <v>0</v>
      </c>
      <c r="AL61" s="46" t="e">
        <f t="shared" si="11"/>
        <v>#DIV/0!</v>
      </c>
    </row>
    <row r="62" spans="3:38">
      <c r="C62" s="44"/>
      <c r="D62" s="45"/>
      <c r="E62" s="14"/>
      <c r="F62" s="43"/>
      <c r="G62" s="14"/>
      <c r="H62" s="43"/>
      <c r="I62" s="14"/>
      <c r="J62" s="43"/>
      <c r="K62" s="14"/>
      <c r="L62" s="43"/>
      <c r="M62" s="14"/>
      <c r="N62" s="43"/>
      <c r="O62" s="14"/>
      <c r="P62" s="43"/>
      <c r="Q62" s="14"/>
      <c r="R62" s="43"/>
      <c r="S62" s="14"/>
      <c r="T62" s="43"/>
      <c r="U62" s="14"/>
      <c r="V62" s="43"/>
      <c r="W62" s="14"/>
      <c r="X62" s="43"/>
      <c r="Y62" s="14"/>
      <c r="Z62" s="43"/>
      <c r="AA62" s="14"/>
      <c r="AB62" s="43"/>
      <c r="AC62" s="35">
        <f t="shared" si="30"/>
        <v>0</v>
      </c>
      <c r="AD62" s="42">
        <f t="shared" si="31"/>
        <v>0</v>
      </c>
      <c r="AE62" s="14">
        <f t="shared" si="4"/>
        <v>0</v>
      </c>
      <c r="AF62" s="46">
        <f t="shared" si="5"/>
        <v>0</v>
      </c>
      <c r="AG62" s="14">
        <f t="shared" si="6"/>
        <v>0</v>
      </c>
      <c r="AH62" t="e">
        <f t="shared" si="7"/>
        <v>#DIV/0!</v>
      </c>
      <c r="AI62" s="14">
        <f t="shared" si="8"/>
        <v>0</v>
      </c>
      <c r="AJ62" s="46" t="e">
        <f t="shared" si="9"/>
        <v>#DIV/0!</v>
      </c>
      <c r="AK62" s="14">
        <f t="shared" si="10"/>
        <v>0</v>
      </c>
      <c r="AL62" s="46" t="e">
        <f t="shared" si="11"/>
        <v>#DIV/0!</v>
      </c>
    </row>
    <row r="63" spans="3:38">
      <c r="C63" s="44"/>
      <c r="D63" s="45"/>
      <c r="E63" s="14"/>
      <c r="F63" s="43"/>
      <c r="G63" s="14"/>
      <c r="H63" s="43"/>
      <c r="I63" s="14"/>
      <c r="J63" s="43"/>
      <c r="K63" s="14"/>
      <c r="L63" s="43"/>
      <c r="M63" s="14"/>
      <c r="N63" s="43"/>
      <c r="O63" s="14"/>
      <c r="P63" s="43"/>
      <c r="Q63" s="14"/>
      <c r="R63" s="43"/>
      <c r="S63" s="14"/>
      <c r="T63" s="43"/>
      <c r="U63" s="14"/>
      <c r="V63" s="43"/>
      <c r="W63" s="14"/>
      <c r="X63" s="43"/>
      <c r="Y63" s="14"/>
      <c r="Z63" s="43"/>
      <c r="AA63" s="14"/>
      <c r="AB63" s="43"/>
      <c r="AC63" s="35">
        <f t="shared" si="30"/>
        <v>0</v>
      </c>
      <c r="AD63" s="42">
        <f t="shared" si="31"/>
        <v>0</v>
      </c>
      <c r="AE63" s="14">
        <f t="shared" si="4"/>
        <v>0</v>
      </c>
      <c r="AF63" s="46">
        <f t="shared" si="5"/>
        <v>0</v>
      </c>
      <c r="AG63" s="14">
        <f t="shared" si="6"/>
        <v>0</v>
      </c>
      <c r="AH63" t="e">
        <f t="shared" si="7"/>
        <v>#DIV/0!</v>
      </c>
      <c r="AI63" s="14">
        <f t="shared" si="8"/>
        <v>0</v>
      </c>
      <c r="AJ63" s="46" t="e">
        <f t="shared" si="9"/>
        <v>#DIV/0!</v>
      </c>
      <c r="AK63" s="14">
        <f t="shared" si="10"/>
        <v>0</v>
      </c>
      <c r="AL63" s="46" t="e">
        <f t="shared" si="11"/>
        <v>#DIV/0!</v>
      </c>
    </row>
    <row r="64" spans="3:38">
      <c r="C64" s="44"/>
      <c r="D64" s="45"/>
      <c r="E64" s="14"/>
      <c r="F64" s="43"/>
      <c r="G64" s="14"/>
      <c r="H64" s="43"/>
      <c r="I64" s="14"/>
      <c r="J64" s="43"/>
      <c r="K64" s="14"/>
      <c r="L64" s="43"/>
      <c r="M64" s="14"/>
      <c r="N64" s="43"/>
      <c r="O64" s="14"/>
      <c r="P64" s="43"/>
      <c r="Q64" s="14"/>
      <c r="R64" s="43"/>
      <c r="S64" s="14"/>
      <c r="T64" s="43"/>
      <c r="U64" s="14"/>
      <c r="V64" s="43"/>
      <c r="W64" s="14"/>
      <c r="X64" s="43"/>
      <c r="Y64" s="14"/>
      <c r="Z64" s="43"/>
      <c r="AA64" s="14"/>
      <c r="AB64" s="43"/>
      <c r="AC64" s="35">
        <f t="shared" si="30"/>
        <v>0</v>
      </c>
      <c r="AD64" s="42">
        <f t="shared" si="31"/>
        <v>0</v>
      </c>
      <c r="AE64" s="14">
        <f t="shared" si="4"/>
        <v>0</v>
      </c>
      <c r="AF64" s="46">
        <f t="shared" si="5"/>
        <v>0</v>
      </c>
      <c r="AG64" s="14">
        <f t="shared" si="6"/>
        <v>0</v>
      </c>
      <c r="AH64" t="e">
        <f t="shared" si="7"/>
        <v>#DIV/0!</v>
      </c>
      <c r="AI64" s="14">
        <f t="shared" si="8"/>
        <v>0</v>
      </c>
      <c r="AJ64" s="46" t="e">
        <f t="shared" si="9"/>
        <v>#DIV/0!</v>
      </c>
      <c r="AK64" s="14">
        <f t="shared" si="10"/>
        <v>0</v>
      </c>
      <c r="AL64" s="46" t="e">
        <f t="shared" si="11"/>
        <v>#DIV/0!</v>
      </c>
    </row>
    <row r="65" spans="3:38">
      <c r="C65" s="44"/>
      <c r="D65" s="45"/>
      <c r="E65" s="14"/>
      <c r="F65" s="43"/>
      <c r="G65" s="14"/>
      <c r="H65" s="43"/>
      <c r="I65" s="14"/>
      <c r="J65" s="43"/>
      <c r="K65" s="14"/>
      <c r="L65" s="43"/>
      <c r="M65" s="14"/>
      <c r="N65" s="43"/>
      <c r="O65" s="14"/>
      <c r="P65" s="43"/>
      <c r="Q65" s="14"/>
      <c r="R65" s="43"/>
      <c r="S65" s="14"/>
      <c r="T65" s="43"/>
      <c r="U65" s="14"/>
      <c r="V65" s="43"/>
      <c r="W65" s="14"/>
      <c r="X65" s="43"/>
      <c r="Y65" s="14"/>
      <c r="Z65" s="43"/>
      <c r="AA65" s="14"/>
      <c r="AB65" s="43"/>
      <c r="AC65" s="35">
        <f t="shared" si="30"/>
        <v>0</v>
      </c>
      <c r="AD65" s="42">
        <f t="shared" si="31"/>
        <v>0</v>
      </c>
      <c r="AE65" s="14">
        <f t="shared" si="4"/>
        <v>0</v>
      </c>
      <c r="AF65" s="46">
        <f t="shared" si="5"/>
        <v>0</v>
      </c>
      <c r="AG65" s="14">
        <f t="shared" si="6"/>
        <v>0</v>
      </c>
      <c r="AH65" t="e">
        <f t="shared" si="7"/>
        <v>#DIV/0!</v>
      </c>
      <c r="AI65" s="14">
        <f t="shared" si="8"/>
        <v>0</v>
      </c>
      <c r="AJ65" s="46" t="e">
        <f t="shared" si="9"/>
        <v>#DIV/0!</v>
      </c>
      <c r="AK65" s="14">
        <f t="shared" si="10"/>
        <v>0</v>
      </c>
      <c r="AL65" s="46" t="e">
        <f t="shared" si="11"/>
        <v>#DIV/0!</v>
      </c>
    </row>
    <row r="66" spans="3:38">
      <c r="C66" s="44"/>
      <c r="D66" s="45"/>
      <c r="E66" s="14"/>
      <c r="F66" s="43"/>
      <c r="G66" s="14"/>
      <c r="H66" s="43"/>
      <c r="I66" s="14"/>
      <c r="J66" s="43"/>
      <c r="K66" s="14"/>
      <c r="L66" s="43"/>
      <c r="M66" s="14"/>
      <c r="N66" s="43"/>
      <c r="O66" s="14"/>
      <c r="P66" s="43"/>
      <c r="Q66" s="14"/>
      <c r="R66" s="43"/>
      <c r="S66" s="14"/>
      <c r="T66" s="43"/>
      <c r="U66" s="14"/>
      <c r="V66" s="43"/>
      <c r="W66" s="14"/>
      <c r="X66" s="43"/>
      <c r="Y66" s="14"/>
      <c r="Z66" s="43"/>
      <c r="AA66" s="14"/>
      <c r="AB66" s="43"/>
      <c r="AC66" s="35">
        <f t="shared" si="30"/>
        <v>0</v>
      </c>
      <c r="AD66" s="42">
        <f t="shared" si="31"/>
        <v>0</v>
      </c>
      <c r="AE66" s="14">
        <f t="shared" si="4"/>
        <v>0</v>
      </c>
      <c r="AF66" s="46">
        <f t="shared" si="5"/>
        <v>0</v>
      </c>
      <c r="AG66" s="14">
        <f t="shared" si="6"/>
        <v>0</v>
      </c>
      <c r="AH66" t="e">
        <f t="shared" si="7"/>
        <v>#DIV/0!</v>
      </c>
      <c r="AI66" s="14">
        <f t="shared" si="8"/>
        <v>0</v>
      </c>
      <c r="AJ66" s="46" t="e">
        <f t="shared" si="9"/>
        <v>#DIV/0!</v>
      </c>
      <c r="AK66" s="14">
        <f t="shared" si="10"/>
        <v>0</v>
      </c>
      <c r="AL66" s="46" t="e">
        <f t="shared" si="11"/>
        <v>#DIV/0!</v>
      </c>
    </row>
    <row r="67" spans="3:38">
      <c r="C67" s="44"/>
      <c r="D67" s="45"/>
      <c r="E67" s="14"/>
      <c r="F67" s="43"/>
      <c r="G67" s="14"/>
      <c r="H67" s="43"/>
      <c r="I67" s="14"/>
      <c r="J67" s="43"/>
      <c r="K67" s="14"/>
      <c r="L67" s="43"/>
      <c r="M67" s="14"/>
      <c r="N67" s="43"/>
      <c r="O67" s="14"/>
      <c r="P67" s="43"/>
      <c r="Q67" s="14"/>
      <c r="R67" s="43"/>
      <c r="S67" s="14"/>
      <c r="T67" s="43"/>
      <c r="U67" s="14"/>
      <c r="V67" s="43"/>
      <c r="W67" s="14"/>
      <c r="X67" s="43"/>
      <c r="Y67" s="14"/>
      <c r="Z67" s="43"/>
      <c r="AA67" s="14"/>
      <c r="AB67" s="43"/>
      <c r="AC67" s="35">
        <f t="shared" si="30"/>
        <v>0</v>
      </c>
      <c r="AD67" s="42">
        <f t="shared" si="31"/>
        <v>0</v>
      </c>
      <c r="AE67" s="14">
        <f t="shared" si="4"/>
        <v>0</v>
      </c>
      <c r="AF67" s="46">
        <f t="shared" si="5"/>
        <v>0</v>
      </c>
      <c r="AG67" s="14">
        <f t="shared" si="6"/>
        <v>0</v>
      </c>
      <c r="AH67" t="e">
        <f t="shared" si="7"/>
        <v>#DIV/0!</v>
      </c>
      <c r="AI67" s="14">
        <f t="shared" si="8"/>
        <v>0</v>
      </c>
      <c r="AJ67" s="46" t="e">
        <f t="shared" si="9"/>
        <v>#DIV/0!</v>
      </c>
      <c r="AK67" s="14">
        <f t="shared" si="10"/>
        <v>0</v>
      </c>
      <c r="AL67" s="46" t="e">
        <f t="shared" si="11"/>
        <v>#DIV/0!</v>
      </c>
    </row>
    <row r="68" spans="3:38">
      <c r="C68" s="44"/>
      <c r="D68" s="45"/>
      <c r="E68" s="14"/>
      <c r="F68" s="43"/>
      <c r="G68" s="14"/>
      <c r="H68" s="43"/>
      <c r="I68" s="14"/>
      <c r="J68" s="43"/>
      <c r="K68" s="14"/>
      <c r="L68" s="43"/>
      <c r="M68" s="14"/>
      <c r="N68" s="43"/>
      <c r="O68" s="14"/>
      <c r="P68" s="43"/>
      <c r="Q68" s="14"/>
      <c r="R68" s="43"/>
      <c r="S68" s="14"/>
      <c r="T68" s="43"/>
      <c r="U68" s="14"/>
      <c r="V68" s="43"/>
      <c r="W68" s="14"/>
      <c r="X68" s="43"/>
      <c r="Y68" s="14"/>
      <c r="Z68" s="43"/>
      <c r="AA68" s="14"/>
      <c r="AB68" s="43"/>
      <c r="AC68" s="35">
        <f t="shared" si="30"/>
        <v>0</v>
      </c>
      <c r="AD68" s="42">
        <f t="shared" si="31"/>
        <v>0</v>
      </c>
      <c r="AE68" s="14">
        <f t="shared" ref="AE68:AE131" si="32">E68+G68+I68</f>
        <v>0</v>
      </c>
      <c r="AF68" s="46">
        <f t="shared" ref="AF68:AF131" si="33">(F68+H68+J68)/$AF$4</f>
        <v>0</v>
      </c>
      <c r="AG68" s="14">
        <f t="shared" ref="AG68:AG131" si="34">K68+M68+O68</f>
        <v>0</v>
      </c>
      <c r="AH68" t="e">
        <f t="shared" ref="AH68:AH131" si="35">(L68+N68+P68)/$AH$4</f>
        <v>#DIV/0!</v>
      </c>
      <c r="AI68" s="14">
        <f t="shared" ref="AI68:AI131" si="36">U68+S68+Q68</f>
        <v>0</v>
      </c>
      <c r="AJ68" s="46" t="e">
        <f t="shared" ref="AJ68:AJ131" si="37">(V68+T68+R68)/$AJ$4</f>
        <v>#DIV/0!</v>
      </c>
      <c r="AK68" s="14">
        <f t="shared" ref="AK68:AK131" si="38">W68+Y68+AA68</f>
        <v>0</v>
      </c>
      <c r="AL68" s="46" t="e">
        <f t="shared" ref="AL68:AL131" si="39">(X68+Z68+AB68)/$AL$4</f>
        <v>#DIV/0!</v>
      </c>
    </row>
    <row r="69" spans="3:38">
      <c r="C69" s="44"/>
      <c r="D69" s="45"/>
      <c r="E69" s="14"/>
      <c r="F69" s="43"/>
      <c r="G69" s="14"/>
      <c r="H69" s="43"/>
      <c r="I69" s="14"/>
      <c r="J69" s="43"/>
      <c r="K69" s="14"/>
      <c r="L69" s="43"/>
      <c r="M69" s="14"/>
      <c r="N69" s="43"/>
      <c r="O69" s="14"/>
      <c r="P69" s="43"/>
      <c r="Q69" s="14"/>
      <c r="R69" s="43"/>
      <c r="S69" s="14"/>
      <c r="T69" s="43"/>
      <c r="U69" s="14"/>
      <c r="V69" s="43"/>
      <c r="W69" s="14"/>
      <c r="X69" s="43"/>
      <c r="Y69" s="14"/>
      <c r="Z69" s="43"/>
      <c r="AA69" s="14"/>
      <c r="AB69" s="43"/>
      <c r="AC69" s="35">
        <f t="shared" si="30"/>
        <v>0</v>
      </c>
      <c r="AD69" s="42">
        <f t="shared" si="31"/>
        <v>0</v>
      </c>
      <c r="AE69" s="14">
        <f t="shared" si="32"/>
        <v>0</v>
      </c>
      <c r="AF69" s="46">
        <f t="shared" si="33"/>
        <v>0</v>
      </c>
      <c r="AG69" s="14">
        <f t="shared" si="34"/>
        <v>0</v>
      </c>
      <c r="AH69" t="e">
        <f t="shared" si="35"/>
        <v>#DIV/0!</v>
      </c>
      <c r="AI69" s="14">
        <f t="shared" si="36"/>
        <v>0</v>
      </c>
      <c r="AJ69" s="46" t="e">
        <f t="shared" si="37"/>
        <v>#DIV/0!</v>
      </c>
      <c r="AK69" s="14">
        <f t="shared" si="38"/>
        <v>0</v>
      </c>
      <c r="AL69" s="46" t="e">
        <f t="shared" si="39"/>
        <v>#DIV/0!</v>
      </c>
    </row>
    <row r="70" spans="3:38">
      <c r="C70" s="44"/>
      <c r="D70" s="45"/>
      <c r="E70" s="14"/>
      <c r="F70" s="43"/>
      <c r="G70" s="14"/>
      <c r="H70" s="43"/>
      <c r="I70" s="14"/>
      <c r="J70" s="43"/>
      <c r="K70" s="14"/>
      <c r="L70" s="43"/>
      <c r="M70" s="14"/>
      <c r="N70" s="43"/>
      <c r="O70" s="14"/>
      <c r="P70" s="43"/>
      <c r="Q70" s="14"/>
      <c r="R70" s="43"/>
      <c r="S70" s="14"/>
      <c r="T70" s="43"/>
      <c r="U70" s="14"/>
      <c r="V70" s="43"/>
      <c r="W70" s="14"/>
      <c r="X70" s="43"/>
      <c r="Y70" s="14"/>
      <c r="Z70" s="43"/>
      <c r="AA70" s="14"/>
      <c r="AB70" s="43"/>
      <c r="AC70" s="35">
        <f t="shared" si="30"/>
        <v>0</v>
      </c>
      <c r="AD70" s="42">
        <f t="shared" si="31"/>
        <v>0</v>
      </c>
      <c r="AE70" s="14">
        <f t="shared" si="32"/>
        <v>0</v>
      </c>
      <c r="AF70" s="46">
        <f t="shared" si="33"/>
        <v>0</v>
      </c>
      <c r="AG70" s="14">
        <f t="shared" si="34"/>
        <v>0</v>
      </c>
      <c r="AH70" t="e">
        <f t="shared" si="35"/>
        <v>#DIV/0!</v>
      </c>
      <c r="AI70" s="14">
        <f t="shared" si="36"/>
        <v>0</v>
      </c>
      <c r="AJ70" s="46" t="e">
        <f t="shared" si="37"/>
        <v>#DIV/0!</v>
      </c>
      <c r="AK70" s="14">
        <f t="shared" si="38"/>
        <v>0</v>
      </c>
      <c r="AL70" s="46" t="e">
        <f t="shared" si="39"/>
        <v>#DIV/0!</v>
      </c>
    </row>
    <row r="71" spans="3:38">
      <c r="C71" s="44"/>
      <c r="D71" s="45"/>
      <c r="E71" s="14"/>
      <c r="F71" s="43"/>
      <c r="G71" s="14"/>
      <c r="H71" s="43"/>
      <c r="I71" s="14"/>
      <c r="J71" s="43"/>
      <c r="K71" s="14"/>
      <c r="L71" s="43"/>
      <c r="M71" s="14"/>
      <c r="N71" s="43"/>
      <c r="O71" s="14"/>
      <c r="P71" s="43"/>
      <c r="Q71" s="14"/>
      <c r="R71" s="43"/>
      <c r="S71" s="14"/>
      <c r="T71" s="43"/>
      <c r="U71" s="14"/>
      <c r="V71" s="43"/>
      <c r="W71" s="14"/>
      <c r="X71" s="43"/>
      <c r="Y71" s="14"/>
      <c r="Z71" s="43"/>
      <c r="AA71" s="14"/>
      <c r="AB71" s="43"/>
      <c r="AC71" s="35">
        <f t="shared" si="30"/>
        <v>0</v>
      </c>
      <c r="AD71" s="42">
        <f t="shared" si="31"/>
        <v>0</v>
      </c>
      <c r="AE71" s="14">
        <f t="shared" si="32"/>
        <v>0</v>
      </c>
      <c r="AF71" s="46">
        <f t="shared" si="33"/>
        <v>0</v>
      </c>
      <c r="AG71" s="14">
        <f t="shared" si="34"/>
        <v>0</v>
      </c>
      <c r="AH71" t="e">
        <f t="shared" si="35"/>
        <v>#DIV/0!</v>
      </c>
      <c r="AI71" s="14">
        <f t="shared" si="36"/>
        <v>0</v>
      </c>
      <c r="AJ71" s="46" t="e">
        <f t="shared" si="37"/>
        <v>#DIV/0!</v>
      </c>
      <c r="AK71" s="14">
        <f t="shared" si="38"/>
        <v>0</v>
      </c>
      <c r="AL71" s="46" t="e">
        <f t="shared" si="39"/>
        <v>#DIV/0!</v>
      </c>
    </row>
    <row r="72" spans="3:38">
      <c r="C72" s="44"/>
      <c r="D72" s="45"/>
      <c r="E72" s="14"/>
      <c r="F72" s="43"/>
      <c r="G72" s="14"/>
      <c r="H72" s="43"/>
      <c r="I72" s="14"/>
      <c r="J72" s="43"/>
      <c r="K72" s="14"/>
      <c r="L72" s="43"/>
      <c r="M72" s="14"/>
      <c r="N72" s="43"/>
      <c r="O72" s="14"/>
      <c r="P72" s="43"/>
      <c r="Q72" s="14"/>
      <c r="R72" s="43"/>
      <c r="S72" s="14"/>
      <c r="T72" s="43"/>
      <c r="U72" s="14"/>
      <c r="V72" s="43"/>
      <c r="W72" s="14"/>
      <c r="X72" s="43"/>
      <c r="Y72" s="14"/>
      <c r="Z72" s="43"/>
      <c r="AA72" s="14"/>
      <c r="AB72" s="43"/>
      <c r="AC72" s="35">
        <f t="shared" si="30"/>
        <v>0</v>
      </c>
      <c r="AD72" s="42">
        <f t="shared" si="31"/>
        <v>0</v>
      </c>
      <c r="AE72" s="14">
        <f t="shared" si="32"/>
        <v>0</v>
      </c>
      <c r="AF72" s="46">
        <f t="shared" si="33"/>
        <v>0</v>
      </c>
      <c r="AG72" s="14">
        <f t="shared" si="34"/>
        <v>0</v>
      </c>
      <c r="AH72" t="e">
        <f t="shared" si="35"/>
        <v>#DIV/0!</v>
      </c>
      <c r="AI72" s="14">
        <f t="shared" si="36"/>
        <v>0</v>
      </c>
      <c r="AJ72" s="46" t="e">
        <f t="shared" si="37"/>
        <v>#DIV/0!</v>
      </c>
      <c r="AK72" s="14">
        <f t="shared" si="38"/>
        <v>0</v>
      </c>
      <c r="AL72" s="46" t="e">
        <f t="shared" si="39"/>
        <v>#DIV/0!</v>
      </c>
    </row>
    <row r="73" spans="3:38">
      <c r="C73" s="44"/>
      <c r="D73" s="45"/>
      <c r="E73" s="14"/>
      <c r="F73" s="43"/>
      <c r="G73" s="14"/>
      <c r="H73" s="43"/>
      <c r="I73" s="14"/>
      <c r="J73" s="43"/>
      <c r="K73" s="14"/>
      <c r="L73" s="43"/>
      <c r="M73" s="14"/>
      <c r="N73" s="43"/>
      <c r="O73" s="14"/>
      <c r="P73" s="43"/>
      <c r="Q73" s="14"/>
      <c r="R73" s="43"/>
      <c r="S73" s="14"/>
      <c r="T73" s="43"/>
      <c r="U73" s="14"/>
      <c r="V73" s="43"/>
      <c r="W73" s="14"/>
      <c r="X73" s="43"/>
      <c r="Y73" s="14"/>
      <c r="Z73" s="43"/>
      <c r="AA73" s="14"/>
      <c r="AB73" s="43"/>
      <c r="AC73" s="35">
        <f t="shared" si="30"/>
        <v>0</v>
      </c>
      <c r="AD73" s="42">
        <f t="shared" si="31"/>
        <v>0</v>
      </c>
      <c r="AE73" s="14">
        <f t="shared" si="32"/>
        <v>0</v>
      </c>
      <c r="AF73" s="46">
        <f t="shared" si="33"/>
        <v>0</v>
      </c>
      <c r="AG73" s="14">
        <f t="shared" si="34"/>
        <v>0</v>
      </c>
      <c r="AH73" t="e">
        <f t="shared" si="35"/>
        <v>#DIV/0!</v>
      </c>
      <c r="AI73" s="14">
        <f t="shared" si="36"/>
        <v>0</v>
      </c>
      <c r="AJ73" s="46" t="e">
        <f t="shared" si="37"/>
        <v>#DIV/0!</v>
      </c>
      <c r="AK73" s="14">
        <f t="shared" si="38"/>
        <v>0</v>
      </c>
      <c r="AL73" s="46" t="e">
        <f t="shared" si="39"/>
        <v>#DIV/0!</v>
      </c>
    </row>
    <row r="74" spans="3:38">
      <c r="C74" s="44"/>
      <c r="D74" s="45"/>
      <c r="E74" s="14"/>
      <c r="F74" s="43"/>
      <c r="G74" s="14"/>
      <c r="H74" s="43"/>
      <c r="I74" s="14"/>
      <c r="J74" s="43"/>
      <c r="K74" s="14"/>
      <c r="L74" s="43"/>
      <c r="M74" s="14"/>
      <c r="N74" s="43"/>
      <c r="O74" s="14"/>
      <c r="P74" s="43"/>
      <c r="Q74" s="14"/>
      <c r="R74" s="43"/>
      <c r="S74" s="14"/>
      <c r="T74" s="43"/>
      <c r="U74" s="14"/>
      <c r="V74" s="43"/>
      <c r="W74" s="14"/>
      <c r="X74" s="43"/>
      <c r="Y74" s="14"/>
      <c r="Z74" s="43"/>
      <c r="AA74" s="14"/>
      <c r="AB74" s="43"/>
      <c r="AC74" s="35">
        <f t="shared" si="30"/>
        <v>0</v>
      </c>
      <c r="AD74" s="42">
        <f t="shared" si="31"/>
        <v>0</v>
      </c>
      <c r="AE74" s="14">
        <f t="shared" si="32"/>
        <v>0</v>
      </c>
      <c r="AF74" s="46">
        <f t="shared" si="33"/>
        <v>0</v>
      </c>
      <c r="AG74" s="14">
        <f t="shared" si="34"/>
        <v>0</v>
      </c>
      <c r="AH74" t="e">
        <f t="shared" si="35"/>
        <v>#DIV/0!</v>
      </c>
      <c r="AI74" s="14">
        <f t="shared" si="36"/>
        <v>0</v>
      </c>
      <c r="AJ74" s="46" t="e">
        <f t="shared" si="37"/>
        <v>#DIV/0!</v>
      </c>
      <c r="AK74" s="14">
        <f t="shared" si="38"/>
        <v>0</v>
      </c>
      <c r="AL74" s="46" t="e">
        <f t="shared" si="39"/>
        <v>#DIV/0!</v>
      </c>
    </row>
    <row r="75" spans="3:38">
      <c r="C75" s="44"/>
      <c r="D75" s="45"/>
      <c r="E75" s="14"/>
      <c r="F75" s="43"/>
      <c r="G75" s="14"/>
      <c r="H75" s="43"/>
      <c r="I75" s="14"/>
      <c r="J75" s="43"/>
      <c r="K75" s="14"/>
      <c r="L75" s="43"/>
      <c r="M75" s="14"/>
      <c r="N75" s="43"/>
      <c r="O75" s="14"/>
      <c r="P75" s="43"/>
      <c r="Q75" s="14"/>
      <c r="R75" s="43"/>
      <c r="S75" s="14"/>
      <c r="T75" s="43"/>
      <c r="U75" s="14"/>
      <c r="V75" s="43"/>
      <c r="W75" s="14"/>
      <c r="X75" s="43"/>
      <c r="Y75" s="14"/>
      <c r="Z75" s="43"/>
      <c r="AA75" s="14"/>
      <c r="AB75" s="43"/>
      <c r="AC75" s="35">
        <f t="shared" si="30"/>
        <v>0</v>
      </c>
      <c r="AD75" s="42">
        <f t="shared" si="31"/>
        <v>0</v>
      </c>
      <c r="AE75" s="14">
        <f t="shared" si="32"/>
        <v>0</v>
      </c>
      <c r="AF75" s="46">
        <f t="shared" si="33"/>
        <v>0</v>
      </c>
      <c r="AG75" s="14">
        <f t="shared" si="34"/>
        <v>0</v>
      </c>
      <c r="AH75" t="e">
        <f t="shared" si="35"/>
        <v>#DIV/0!</v>
      </c>
      <c r="AI75" s="14">
        <f t="shared" si="36"/>
        <v>0</v>
      </c>
      <c r="AJ75" s="46" t="e">
        <f t="shared" si="37"/>
        <v>#DIV/0!</v>
      </c>
      <c r="AK75" s="14">
        <f t="shared" si="38"/>
        <v>0</v>
      </c>
      <c r="AL75" s="46" t="e">
        <f t="shared" si="39"/>
        <v>#DIV/0!</v>
      </c>
    </row>
    <row r="76" spans="3:38">
      <c r="C76" s="44"/>
      <c r="D76" s="45"/>
      <c r="E76" s="14"/>
      <c r="F76" s="43"/>
      <c r="G76" s="14"/>
      <c r="H76" s="43"/>
      <c r="I76" s="14"/>
      <c r="J76" s="43"/>
      <c r="K76" s="14"/>
      <c r="L76" s="43"/>
      <c r="M76" s="14"/>
      <c r="N76" s="43"/>
      <c r="O76" s="14"/>
      <c r="P76" s="43"/>
      <c r="Q76" s="14"/>
      <c r="R76" s="43"/>
      <c r="S76" s="14"/>
      <c r="T76" s="43"/>
      <c r="U76" s="14"/>
      <c r="V76" s="43"/>
      <c r="W76" s="14"/>
      <c r="X76" s="43"/>
      <c r="Y76" s="14"/>
      <c r="Z76" s="43"/>
      <c r="AA76" s="14"/>
      <c r="AB76" s="43"/>
      <c r="AC76" s="35">
        <f t="shared" si="30"/>
        <v>0</v>
      </c>
      <c r="AD76" s="42">
        <f t="shared" si="31"/>
        <v>0</v>
      </c>
      <c r="AE76" s="14">
        <f t="shared" si="32"/>
        <v>0</v>
      </c>
      <c r="AF76" s="46">
        <f t="shared" si="33"/>
        <v>0</v>
      </c>
      <c r="AG76" s="14">
        <f t="shared" si="34"/>
        <v>0</v>
      </c>
      <c r="AH76" t="e">
        <f t="shared" si="35"/>
        <v>#DIV/0!</v>
      </c>
      <c r="AI76" s="14">
        <f t="shared" si="36"/>
        <v>0</v>
      </c>
      <c r="AJ76" s="46" t="e">
        <f t="shared" si="37"/>
        <v>#DIV/0!</v>
      </c>
      <c r="AK76" s="14">
        <f t="shared" si="38"/>
        <v>0</v>
      </c>
      <c r="AL76" s="46" t="e">
        <f t="shared" si="39"/>
        <v>#DIV/0!</v>
      </c>
    </row>
    <row r="77" spans="3:38">
      <c r="C77" s="44"/>
      <c r="D77" s="45"/>
      <c r="E77" s="14"/>
      <c r="F77" s="43"/>
      <c r="G77" s="14"/>
      <c r="H77" s="43"/>
      <c r="I77" s="14"/>
      <c r="J77" s="43"/>
      <c r="K77" s="14"/>
      <c r="L77" s="43"/>
      <c r="M77" s="14"/>
      <c r="N77" s="43"/>
      <c r="O77" s="14"/>
      <c r="P77" s="43"/>
      <c r="Q77" s="14"/>
      <c r="R77" s="43"/>
      <c r="S77" s="14"/>
      <c r="T77" s="43"/>
      <c r="U77" s="14"/>
      <c r="V77" s="43"/>
      <c r="W77" s="14"/>
      <c r="X77" s="43"/>
      <c r="Y77" s="14"/>
      <c r="Z77" s="43"/>
      <c r="AA77" s="14"/>
      <c r="AB77" s="43"/>
      <c r="AC77" s="35">
        <f t="shared" si="30"/>
        <v>0</v>
      </c>
      <c r="AD77" s="42">
        <f t="shared" si="31"/>
        <v>0</v>
      </c>
      <c r="AE77" s="14">
        <f t="shared" si="32"/>
        <v>0</v>
      </c>
      <c r="AF77" s="46">
        <f t="shared" si="33"/>
        <v>0</v>
      </c>
      <c r="AG77" s="14">
        <f t="shared" si="34"/>
        <v>0</v>
      </c>
      <c r="AH77" t="e">
        <f t="shared" si="35"/>
        <v>#DIV/0!</v>
      </c>
      <c r="AI77" s="14">
        <f t="shared" si="36"/>
        <v>0</v>
      </c>
      <c r="AJ77" s="46" t="e">
        <f t="shared" si="37"/>
        <v>#DIV/0!</v>
      </c>
      <c r="AK77" s="14">
        <f t="shared" si="38"/>
        <v>0</v>
      </c>
      <c r="AL77" s="46" t="e">
        <f t="shared" si="39"/>
        <v>#DIV/0!</v>
      </c>
    </row>
    <row r="78" spans="3:38">
      <c r="C78" s="44"/>
      <c r="D78" s="45"/>
      <c r="E78" s="14"/>
      <c r="F78" s="43"/>
      <c r="G78" s="14"/>
      <c r="H78" s="43"/>
      <c r="I78" s="14"/>
      <c r="J78" s="43"/>
      <c r="K78" s="14"/>
      <c r="L78" s="43"/>
      <c r="M78" s="14"/>
      <c r="N78" s="43"/>
      <c r="O78" s="14"/>
      <c r="P78" s="43"/>
      <c r="Q78" s="14"/>
      <c r="R78" s="43"/>
      <c r="S78" s="14"/>
      <c r="T78" s="43"/>
      <c r="U78" s="14"/>
      <c r="V78" s="43"/>
      <c r="W78" s="14"/>
      <c r="X78" s="43"/>
      <c r="Y78" s="14"/>
      <c r="Z78" s="43"/>
      <c r="AA78" s="14"/>
      <c r="AB78" s="43"/>
      <c r="AC78" s="35">
        <f t="shared" si="30"/>
        <v>0</v>
      </c>
      <c r="AD78" s="42">
        <f t="shared" si="31"/>
        <v>0</v>
      </c>
      <c r="AE78" s="14">
        <f t="shared" si="32"/>
        <v>0</v>
      </c>
      <c r="AF78" s="46">
        <f t="shared" si="33"/>
        <v>0</v>
      </c>
      <c r="AG78" s="14">
        <f t="shared" si="34"/>
        <v>0</v>
      </c>
      <c r="AH78" t="e">
        <f t="shared" si="35"/>
        <v>#DIV/0!</v>
      </c>
      <c r="AI78" s="14">
        <f t="shared" si="36"/>
        <v>0</v>
      </c>
      <c r="AJ78" s="46" t="e">
        <f t="shared" si="37"/>
        <v>#DIV/0!</v>
      </c>
      <c r="AK78" s="14">
        <f t="shared" si="38"/>
        <v>0</v>
      </c>
      <c r="AL78" s="46" t="e">
        <f t="shared" si="39"/>
        <v>#DIV/0!</v>
      </c>
    </row>
    <row r="79" spans="3:38">
      <c r="C79" s="44"/>
      <c r="D79" s="45"/>
      <c r="E79" s="14"/>
      <c r="F79" s="43"/>
      <c r="G79" s="14"/>
      <c r="H79" s="43"/>
      <c r="I79" s="14"/>
      <c r="J79" s="43"/>
      <c r="K79" s="14"/>
      <c r="L79" s="43"/>
      <c r="M79" s="14"/>
      <c r="N79" s="43"/>
      <c r="O79" s="14"/>
      <c r="P79" s="43"/>
      <c r="Q79" s="14"/>
      <c r="R79" s="43"/>
      <c r="S79" s="14"/>
      <c r="T79" s="43"/>
      <c r="U79" s="14"/>
      <c r="V79" s="43"/>
      <c r="W79" s="14"/>
      <c r="X79" s="43"/>
      <c r="Y79" s="14"/>
      <c r="Z79" s="43"/>
      <c r="AA79" s="14"/>
      <c r="AB79" s="43"/>
      <c r="AC79" s="35">
        <f t="shared" si="30"/>
        <v>0</v>
      </c>
      <c r="AD79" s="42">
        <f t="shared" si="31"/>
        <v>0</v>
      </c>
      <c r="AE79" s="14">
        <f t="shared" si="32"/>
        <v>0</v>
      </c>
      <c r="AF79" s="46">
        <f t="shared" si="33"/>
        <v>0</v>
      </c>
      <c r="AG79" s="14">
        <f t="shared" si="34"/>
        <v>0</v>
      </c>
      <c r="AH79" t="e">
        <f t="shared" si="35"/>
        <v>#DIV/0!</v>
      </c>
      <c r="AI79" s="14">
        <f t="shared" si="36"/>
        <v>0</v>
      </c>
      <c r="AJ79" s="46" t="e">
        <f t="shared" si="37"/>
        <v>#DIV/0!</v>
      </c>
      <c r="AK79" s="14">
        <f t="shared" si="38"/>
        <v>0</v>
      </c>
      <c r="AL79" s="46" t="e">
        <f t="shared" si="39"/>
        <v>#DIV/0!</v>
      </c>
    </row>
    <row r="80" spans="3:38">
      <c r="C80" s="44"/>
      <c r="D80" s="45"/>
      <c r="E80" s="14"/>
      <c r="F80" s="43"/>
      <c r="G80" s="14"/>
      <c r="H80" s="43"/>
      <c r="I80" s="14"/>
      <c r="J80" s="43"/>
      <c r="K80" s="14"/>
      <c r="L80" s="43"/>
      <c r="M80" s="14"/>
      <c r="N80" s="43"/>
      <c r="O80" s="14"/>
      <c r="P80" s="43"/>
      <c r="Q80" s="14"/>
      <c r="R80" s="43"/>
      <c r="S80" s="14"/>
      <c r="T80" s="43"/>
      <c r="U80" s="14"/>
      <c r="V80" s="43"/>
      <c r="W80" s="14"/>
      <c r="X80" s="43"/>
      <c r="Y80" s="14"/>
      <c r="Z80" s="43"/>
      <c r="AA80" s="14"/>
      <c r="AB80" s="43"/>
      <c r="AC80" s="35">
        <f t="shared" si="30"/>
        <v>0</v>
      </c>
      <c r="AD80" s="42">
        <f t="shared" si="31"/>
        <v>0</v>
      </c>
      <c r="AE80" s="14">
        <f t="shared" si="32"/>
        <v>0</v>
      </c>
      <c r="AF80" s="46">
        <f t="shared" si="33"/>
        <v>0</v>
      </c>
      <c r="AG80" s="14">
        <f t="shared" si="34"/>
        <v>0</v>
      </c>
      <c r="AH80" t="e">
        <f t="shared" si="35"/>
        <v>#DIV/0!</v>
      </c>
      <c r="AI80" s="14">
        <f t="shared" si="36"/>
        <v>0</v>
      </c>
      <c r="AJ80" s="46" t="e">
        <f t="shared" si="37"/>
        <v>#DIV/0!</v>
      </c>
      <c r="AK80" s="14">
        <f t="shared" si="38"/>
        <v>0</v>
      </c>
      <c r="AL80" s="46" t="e">
        <f t="shared" si="39"/>
        <v>#DIV/0!</v>
      </c>
    </row>
    <row r="81" spans="3:38">
      <c r="C81" s="48"/>
      <c r="D81" s="49"/>
      <c r="E81" s="14"/>
      <c r="F81" s="43"/>
      <c r="G81" s="14"/>
      <c r="H81" s="43"/>
      <c r="I81" s="14"/>
      <c r="J81" s="43"/>
      <c r="K81" s="14"/>
      <c r="L81" s="43"/>
      <c r="M81" s="14"/>
      <c r="N81" s="43"/>
      <c r="O81" s="14"/>
      <c r="P81" s="43"/>
      <c r="Q81" s="14"/>
      <c r="R81" s="43"/>
      <c r="S81" s="14"/>
      <c r="T81" s="43"/>
      <c r="U81" s="14"/>
      <c r="V81" s="43"/>
      <c r="W81" s="14"/>
      <c r="X81" s="43"/>
      <c r="Y81" s="14"/>
      <c r="Z81" s="43"/>
      <c r="AA81" s="14"/>
      <c r="AB81" s="43"/>
      <c r="AC81" s="35">
        <f t="shared" si="30"/>
        <v>0</v>
      </c>
      <c r="AD81" s="42">
        <f t="shared" si="31"/>
        <v>0</v>
      </c>
      <c r="AE81" s="14">
        <f t="shared" si="32"/>
        <v>0</v>
      </c>
      <c r="AF81" s="46">
        <f t="shared" si="33"/>
        <v>0</v>
      </c>
      <c r="AG81" s="14">
        <f t="shared" si="34"/>
        <v>0</v>
      </c>
      <c r="AH81" t="e">
        <f t="shared" si="35"/>
        <v>#DIV/0!</v>
      </c>
      <c r="AI81" s="14">
        <f t="shared" si="36"/>
        <v>0</v>
      </c>
      <c r="AJ81" s="46" t="e">
        <f t="shared" si="37"/>
        <v>#DIV/0!</v>
      </c>
      <c r="AK81" s="14">
        <f t="shared" si="38"/>
        <v>0</v>
      </c>
      <c r="AL81" s="46" t="e">
        <f t="shared" si="39"/>
        <v>#DIV/0!</v>
      </c>
    </row>
    <row r="82" spans="3:38">
      <c r="C82" s="48"/>
      <c r="D82" s="49"/>
      <c r="E82" s="14"/>
      <c r="F82" s="43"/>
      <c r="G82" s="14"/>
      <c r="H82" s="43"/>
      <c r="I82" s="14"/>
      <c r="J82" s="43"/>
      <c r="K82" s="14"/>
      <c r="L82" s="43"/>
      <c r="M82" s="14"/>
      <c r="N82" s="43"/>
      <c r="O82" s="14"/>
      <c r="P82" s="43"/>
      <c r="Q82" s="14"/>
      <c r="R82" s="43"/>
      <c r="S82" s="14"/>
      <c r="T82" s="43"/>
      <c r="U82" s="14"/>
      <c r="V82" s="43"/>
      <c r="W82" s="14"/>
      <c r="X82" s="43"/>
      <c r="Y82" s="14"/>
      <c r="Z82" s="43"/>
      <c r="AA82" s="14"/>
      <c r="AB82" s="43"/>
      <c r="AC82" s="35">
        <f t="shared" si="30"/>
        <v>0</v>
      </c>
      <c r="AD82" s="42">
        <f t="shared" si="31"/>
        <v>0</v>
      </c>
      <c r="AE82" s="14">
        <f t="shared" si="32"/>
        <v>0</v>
      </c>
      <c r="AF82" s="46">
        <f t="shared" si="33"/>
        <v>0</v>
      </c>
      <c r="AG82" s="14">
        <f t="shared" si="34"/>
        <v>0</v>
      </c>
      <c r="AH82" t="e">
        <f t="shared" si="35"/>
        <v>#DIV/0!</v>
      </c>
      <c r="AI82" s="14">
        <f t="shared" si="36"/>
        <v>0</v>
      </c>
      <c r="AJ82" s="46" t="e">
        <f t="shared" si="37"/>
        <v>#DIV/0!</v>
      </c>
      <c r="AK82" s="14">
        <f t="shared" si="38"/>
        <v>0</v>
      </c>
      <c r="AL82" s="46" t="e">
        <f t="shared" si="39"/>
        <v>#DIV/0!</v>
      </c>
    </row>
    <row r="83" spans="3:38">
      <c r="C83" s="48"/>
      <c r="D83" s="49"/>
      <c r="E83" s="14"/>
      <c r="F83" s="43"/>
      <c r="G83" s="14"/>
      <c r="H83" s="43"/>
      <c r="I83" s="14"/>
      <c r="J83" s="43"/>
      <c r="K83" s="14"/>
      <c r="L83" s="43"/>
      <c r="M83" s="14"/>
      <c r="N83" s="43"/>
      <c r="O83" s="14"/>
      <c r="P83" s="43"/>
      <c r="Q83" s="14"/>
      <c r="R83" s="43"/>
      <c r="S83" s="14"/>
      <c r="T83" s="43"/>
      <c r="U83" s="14"/>
      <c r="V83" s="43"/>
      <c r="W83" s="14"/>
      <c r="X83" s="43"/>
      <c r="Y83" s="14"/>
      <c r="Z83" s="43"/>
      <c r="AA83" s="14"/>
      <c r="AB83" s="43"/>
      <c r="AC83" s="35">
        <f t="shared" si="30"/>
        <v>0</v>
      </c>
      <c r="AD83" s="42">
        <f t="shared" si="31"/>
        <v>0</v>
      </c>
      <c r="AE83" s="14">
        <f t="shared" si="32"/>
        <v>0</v>
      </c>
      <c r="AF83" s="46">
        <f t="shared" si="33"/>
        <v>0</v>
      </c>
      <c r="AG83" s="14">
        <f t="shared" si="34"/>
        <v>0</v>
      </c>
      <c r="AH83" t="e">
        <f t="shared" si="35"/>
        <v>#DIV/0!</v>
      </c>
      <c r="AI83" s="14">
        <f t="shared" si="36"/>
        <v>0</v>
      </c>
      <c r="AJ83" s="46" t="e">
        <f t="shared" si="37"/>
        <v>#DIV/0!</v>
      </c>
      <c r="AK83" s="14">
        <f t="shared" si="38"/>
        <v>0</v>
      </c>
      <c r="AL83" s="46" t="e">
        <f t="shared" si="39"/>
        <v>#DIV/0!</v>
      </c>
    </row>
    <row r="84" spans="3:38">
      <c r="C84" s="48"/>
      <c r="D84" s="49"/>
      <c r="E84" s="14"/>
      <c r="F84" s="43"/>
      <c r="G84" s="14"/>
      <c r="H84" s="43"/>
      <c r="I84" s="14"/>
      <c r="J84" s="43"/>
      <c r="K84" s="14"/>
      <c r="L84" s="43"/>
      <c r="M84" s="14"/>
      <c r="N84" s="43"/>
      <c r="O84" s="14"/>
      <c r="P84" s="43"/>
      <c r="Q84" s="14"/>
      <c r="R84" s="43"/>
      <c r="S84" s="14"/>
      <c r="T84" s="43"/>
      <c r="U84" s="14"/>
      <c r="V84" s="43"/>
      <c r="W84" s="14"/>
      <c r="X84" s="43"/>
      <c r="Y84" s="14"/>
      <c r="Z84" s="43"/>
      <c r="AA84" s="14"/>
      <c r="AB84" s="43"/>
      <c r="AC84" s="35">
        <f t="shared" si="30"/>
        <v>0</v>
      </c>
      <c r="AD84" s="42">
        <f t="shared" si="31"/>
        <v>0</v>
      </c>
      <c r="AE84" s="14">
        <f t="shared" si="32"/>
        <v>0</v>
      </c>
      <c r="AF84" s="46">
        <f t="shared" si="33"/>
        <v>0</v>
      </c>
      <c r="AG84" s="14">
        <f t="shared" si="34"/>
        <v>0</v>
      </c>
      <c r="AH84" t="e">
        <f t="shared" si="35"/>
        <v>#DIV/0!</v>
      </c>
      <c r="AI84" s="14">
        <f t="shared" si="36"/>
        <v>0</v>
      </c>
      <c r="AJ84" s="46" t="e">
        <f t="shared" si="37"/>
        <v>#DIV/0!</v>
      </c>
      <c r="AK84" s="14">
        <f t="shared" si="38"/>
        <v>0</v>
      </c>
      <c r="AL84" s="46" t="e">
        <f t="shared" si="39"/>
        <v>#DIV/0!</v>
      </c>
    </row>
    <row r="85" spans="3:38">
      <c r="C85" s="48"/>
      <c r="D85" s="49"/>
      <c r="E85" s="14"/>
      <c r="F85" s="43"/>
      <c r="G85" s="14"/>
      <c r="H85" s="43"/>
      <c r="I85" s="14"/>
      <c r="J85" s="43"/>
      <c r="K85" s="14"/>
      <c r="L85" s="43"/>
      <c r="M85" s="14"/>
      <c r="N85" s="43"/>
      <c r="O85" s="14"/>
      <c r="P85" s="43"/>
      <c r="Q85" s="14"/>
      <c r="R85" s="43"/>
      <c r="S85" s="14"/>
      <c r="T85" s="43"/>
      <c r="U85" s="14"/>
      <c r="V85" s="43"/>
      <c r="W85" s="14"/>
      <c r="X85" s="43"/>
      <c r="Y85" s="14"/>
      <c r="Z85" s="43"/>
      <c r="AA85" s="14"/>
      <c r="AB85" s="43"/>
      <c r="AC85" s="35">
        <f t="shared" si="30"/>
        <v>0</v>
      </c>
      <c r="AD85" s="42">
        <f t="shared" si="31"/>
        <v>0</v>
      </c>
      <c r="AE85" s="14">
        <f t="shared" si="32"/>
        <v>0</v>
      </c>
      <c r="AF85" s="46">
        <f t="shared" si="33"/>
        <v>0</v>
      </c>
      <c r="AG85" s="14">
        <f t="shared" si="34"/>
        <v>0</v>
      </c>
      <c r="AH85" t="e">
        <f t="shared" si="35"/>
        <v>#DIV/0!</v>
      </c>
      <c r="AI85" s="14">
        <f t="shared" si="36"/>
        <v>0</v>
      </c>
      <c r="AJ85" s="46" t="e">
        <f t="shared" si="37"/>
        <v>#DIV/0!</v>
      </c>
      <c r="AK85" s="14">
        <f t="shared" si="38"/>
        <v>0</v>
      </c>
      <c r="AL85" s="46" t="e">
        <f t="shared" si="39"/>
        <v>#DIV/0!</v>
      </c>
    </row>
    <row r="86" spans="3:38">
      <c r="C86" s="48"/>
      <c r="D86" s="49"/>
      <c r="E86" s="14"/>
      <c r="F86" s="43"/>
      <c r="G86" s="14"/>
      <c r="H86" s="43"/>
      <c r="I86" s="14"/>
      <c r="J86" s="43"/>
      <c r="K86" s="14"/>
      <c r="L86" s="43"/>
      <c r="M86" s="14"/>
      <c r="N86" s="43"/>
      <c r="O86" s="14"/>
      <c r="P86" s="43"/>
      <c r="Q86" s="14"/>
      <c r="R86" s="43"/>
      <c r="S86" s="14"/>
      <c r="T86" s="43"/>
      <c r="U86" s="14"/>
      <c r="V86" s="43"/>
      <c r="W86" s="14"/>
      <c r="X86" s="43"/>
      <c r="Y86" s="14"/>
      <c r="Z86" s="43"/>
      <c r="AA86" s="14"/>
      <c r="AB86" s="43"/>
      <c r="AC86" s="35">
        <f t="shared" si="30"/>
        <v>0</v>
      </c>
      <c r="AD86" s="42">
        <f t="shared" si="31"/>
        <v>0</v>
      </c>
      <c r="AE86" s="14">
        <f t="shared" si="32"/>
        <v>0</v>
      </c>
      <c r="AF86" s="46">
        <f t="shared" si="33"/>
        <v>0</v>
      </c>
      <c r="AG86" s="14">
        <f t="shared" si="34"/>
        <v>0</v>
      </c>
      <c r="AH86" t="e">
        <f t="shared" si="35"/>
        <v>#DIV/0!</v>
      </c>
      <c r="AI86" s="14">
        <f t="shared" si="36"/>
        <v>0</v>
      </c>
      <c r="AJ86" s="46" t="e">
        <f t="shared" si="37"/>
        <v>#DIV/0!</v>
      </c>
      <c r="AK86" s="14">
        <f t="shared" si="38"/>
        <v>0</v>
      </c>
      <c r="AL86" s="46" t="e">
        <f t="shared" si="39"/>
        <v>#DIV/0!</v>
      </c>
    </row>
    <row r="87" spans="3:38">
      <c r="C87" s="48"/>
      <c r="D87" s="49"/>
      <c r="E87" s="14"/>
      <c r="F87" s="43"/>
      <c r="G87" s="14"/>
      <c r="H87" s="43"/>
      <c r="I87" s="14"/>
      <c r="J87" s="43"/>
      <c r="K87" s="14"/>
      <c r="L87" s="43"/>
      <c r="M87" s="14"/>
      <c r="N87" s="43"/>
      <c r="O87" s="14"/>
      <c r="P87" s="43"/>
      <c r="Q87" s="14"/>
      <c r="R87" s="43"/>
      <c r="S87" s="14"/>
      <c r="T87" s="43"/>
      <c r="U87" s="14"/>
      <c r="V87" s="43"/>
      <c r="W87" s="14"/>
      <c r="X87" s="43"/>
      <c r="Y87" s="14"/>
      <c r="Z87" s="43"/>
      <c r="AA87" s="14"/>
      <c r="AB87" s="43"/>
      <c r="AC87" s="35">
        <f t="shared" si="30"/>
        <v>0</v>
      </c>
      <c r="AD87" s="42">
        <f t="shared" si="31"/>
        <v>0</v>
      </c>
      <c r="AE87" s="14">
        <f t="shared" si="32"/>
        <v>0</v>
      </c>
      <c r="AF87" s="46">
        <f t="shared" si="33"/>
        <v>0</v>
      </c>
      <c r="AG87" s="14">
        <f t="shared" si="34"/>
        <v>0</v>
      </c>
      <c r="AH87" t="e">
        <f t="shared" si="35"/>
        <v>#DIV/0!</v>
      </c>
      <c r="AI87" s="14">
        <f t="shared" si="36"/>
        <v>0</v>
      </c>
      <c r="AJ87" s="46" t="e">
        <f t="shared" si="37"/>
        <v>#DIV/0!</v>
      </c>
      <c r="AK87" s="14">
        <f t="shared" si="38"/>
        <v>0</v>
      </c>
      <c r="AL87" s="46" t="e">
        <f t="shared" si="39"/>
        <v>#DIV/0!</v>
      </c>
    </row>
    <row r="88" spans="3:38">
      <c r="C88" s="48"/>
      <c r="D88" s="49"/>
      <c r="E88" s="14"/>
      <c r="F88" s="43"/>
      <c r="G88" s="14"/>
      <c r="H88" s="43"/>
      <c r="I88" s="14"/>
      <c r="J88" s="43"/>
      <c r="K88" s="14"/>
      <c r="L88" s="43"/>
      <c r="M88" s="14"/>
      <c r="N88" s="43"/>
      <c r="O88" s="14"/>
      <c r="P88" s="43"/>
      <c r="Q88" s="14"/>
      <c r="R88" s="43"/>
      <c r="S88" s="14"/>
      <c r="T88" s="43"/>
      <c r="U88" s="14"/>
      <c r="V88" s="43"/>
      <c r="W88" s="14"/>
      <c r="X88" s="43"/>
      <c r="Y88" s="14"/>
      <c r="Z88" s="43"/>
      <c r="AA88" s="14"/>
      <c r="AB88" s="43"/>
      <c r="AC88" s="35">
        <f t="shared" si="30"/>
        <v>0</v>
      </c>
      <c r="AD88" s="42">
        <f t="shared" si="31"/>
        <v>0</v>
      </c>
      <c r="AE88" s="14">
        <f t="shared" si="32"/>
        <v>0</v>
      </c>
      <c r="AF88" s="46">
        <f t="shared" si="33"/>
        <v>0</v>
      </c>
      <c r="AG88" s="14">
        <f t="shared" si="34"/>
        <v>0</v>
      </c>
      <c r="AH88" t="e">
        <f t="shared" si="35"/>
        <v>#DIV/0!</v>
      </c>
      <c r="AI88" s="14">
        <f t="shared" si="36"/>
        <v>0</v>
      </c>
      <c r="AJ88" s="46" t="e">
        <f t="shared" si="37"/>
        <v>#DIV/0!</v>
      </c>
      <c r="AK88" s="14">
        <f t="shared" si="38"/>
        <v>0</v>
      </c>
      <c r="AL88" s="46" t="e">
        <f t="shared" si="39"/>
        <v>#DIV/0!</v>
      </c>
    </row>
    <row r="89" spans="3:38">
      <c r="C89" s="48"/>
      <c r="D89" s="49"/>
      <c r="E89" s="14"/>
      <c r="F89" s="43"/>
      <c r="G89" s="14"/>
      <c r="H89" s="43"/>
      <c r="I89" s="14"/>
      <c r="J89" s="43"/>
      <c r="K89" s="14"/>
      <c r="L89" s="43"/>
      <c r="M89" s="14"/>
      <c r="N89" s="43"/>
      <c r="O89" s="14"/>
      <c r="P89" s="43"/>
      <c r="Q89" s="14"/>
      <c r="R89" s="43"/>
      <c r="S89" s="14"/>
      <c r="T89" s="43"/>
      <c r="U89" s="14"/>
      <c r="V89" s="43"/>
      <c r="W89" s="14"/>
      <c r="X89" s="43"/>
      <c r="Y89" s="14"/>
      <c r="Z89" s="43"/>
      <c r="AA89" s="14"/>
      <c r="AB89" s="43"/>
      <c r="AC89" s="35">
        <f t="shared" si="30"/>
        <v>0</v>
      </c>
      <c r="AD89" s="42">
        <f t="shared" si="31"/>
        <v>0</v>
      </c>
      <c r="AE89" s="14">
        <f t="shared" si="32"/>
        <v>0</v>
      </c>
      <c r="AF89" s="46">
        <f t="shared" si="33"/>
        <v>0</v>
      </c>
      <c r="AG89" s="14">
        <f t="shared" si="34"/>
        <v>0</v>
      </c>
      <c r="AH89" t="e">
        <f t="shared" si="35"/>
        <v>#DIV/0!</v>
      </c>
      <c r="AI89" s="14">
        <f t="shared" si="36"/>
        <v>0</v>
      </c>
      <c r="AJ89" s="46" t="e">
        <f t="shared" si="37"/>
        <v>#DIV/0!</v>
      </c>
      <c r="AK89" s="14">
        <f t="shared" si="38"/>
        <v>0</v>
      </c>
      <c r="AL89" s="46" t="e">
        <f t="shared" si="39"/>
        <v>#DIV/0!</v>
      </c>
    </row>
    <row r="90" spans="3:38">
      <c r="C90" s="48"/>
      <c r="D90" s="49"/>
      <c r="E90" s="14"/>
      <c r="F90" s="43"/>
      <c r="G90" s="14"/>
      <c r="H90" s="43"/>
      <c r="I90" s="14"/>
      <c r="J90" s="43"/>
      <c r="K90" s="14"/>
      <c r="L90" s="43"/>
      <c r="M90" s="14"/>
      <c r="N90" s="43"/>
      <c r="O90" s="14"/>
      <c r="P90" s="43"/>
      <c r="Q90" s="14"/>
      <c r="R90" s="43"/>
      <c r="S90" s="14"/>
      <c r="T90" s="43"/>
      <c r="U90" s="14"/>
      <c r="V90" s="43"/>
      <c r="W90" s="14"/>
      <c r="X90" s="43"/>
      <c r="Y90" s="14"/>
      <c r="Z90" s="43"/>
      <c r="AA90" s="14"/>
      <c r="AB90" s="43"/>
      <c r="AC90" s="35">
        <f t="shared" si="30"/>
        <v>0</v>
      </c>
      <c r="AD90" s="42">
        <f t="shared" si="31"/>
        <v>0</v>
      </c>
      <c r="AE90" s="14">
        <f t="shared" si="32"/>
        <v>0</v>
      </c>
      <c r="AF90" s="46">
        <f t="shared" si="33"/>
        <v>0</v>
      </c>
      <c r="AG90" s="14">
        <f t="shared" si="34"/>
        <v>0</v>
      </c>
      <c r="AH90" t="e">
        <f t="shared" si="35"/>
        <v>#DIV/0!</v>
      </c>
      <c r="AI90" s="14">
        <f t="shared" si="36"/>
        <v>0</v>
      </c>
      <c r="AJ90" s="46" t="e">
        <f t="shared" si="37"/>
        <v>#DIV/0!</v>
      </c>
      <c r="AK90" s="14">
        <f t="shared" si="38"/>
        <v>0</v>
      </c>
      <c r="AL90" s="46" t="e">
        <f t="shared" si="39"/>
        <v>#DIV/0!</v>
      </c>
    </row>
    <row r="91" spans="3:38">
      <c r="C91" s="48"/>
      <c r="D91" s="49"/>
      <c r="E91" s="14"/>
      <c r="F91" s="43"/>
      <c r="G91" s="14"/>
      <c r="H91" s="43"/>
      <c r="I91" s="14"/>
      <c r="J91" s="43"/>
      <c r="K91" s="14"/>
      <c r="L91" s="43"/>
      <c r="M91" s="14"/>
      <c r="N91" s="43"/>
      <c r="O91" s="14"/>
      <c r="P91" s="43"/>
      <c r="Q91" s="14"/>
      <c r="R91" s="43"/>
      <c r="S91" s="14"/>
      <c r="T91" s="43"/>
      <c r="U91" s="14"/>
      <c r="V91" s="43"/>
      <c r="W91" s="14"/>
      <c r="X91" s="43"/>
      <c r="Y91" s="14"/>
      <c r="Z91" s="43"/>
      <c r="AA91" s="14"/>
      <c r="AB91" s="43"/>
      <c r="AC91" s="35">
        <f t="shared" si="30"/>
        <v>0</v>
      </c>
      <c r="AD91" s="42">
        <f t="shared" si="31"/>
        <v>0</v>
      </c>
      <c r="AE91" s="14">
        <f t="shared" si="32"/>
        <v>0</v>
      </c>
      <c r="AF91" s="46">
        <f t="shared" si="33"/>
        <v>0</v>
      </c>
      <c r="AG91" s="14">
        <f t="shared" si="34"/>
        <v>0</v>
      </c>
      <c r="AH91" t="e">
        <f t="shared" si="35"/>
        <v>#DIV/0!</v>
      </c>
      <c r="AI91" s="14">
        <f t="shared" si="36"/>
        <v>0</v>
      </c>
      <c r="AJ91" s="46" t="e">
        <f t="shared" si="37"/>
        <v>#DIV/0!</v>
      </c>
      <c r="AK91" s="14">
        <f t="shared" si="38"/>
        <v>0</v>
      </c>
      <c r="AL91" s="46" t="e">
        <f t="shared" si="39"/>
        <v>#DIV/0!</v>
      </c>
    </row>
    <row r="92" spans="3:38">
      <c r="C92" s="48"/>
      <c r="D92" s="49"/>
      <c r="E92" s="14"/>
      <c r="F92" s="43"/>
      <c r="G92" s="14"/>
      <c r="H92" s="43"/>
      <c r="I92" s="14"/>
      <c r="J92" s="43"/>
      <c r="K92" s="14"/>
      <c r="L92" s="43"/>
      <c r="M92" s="14"/>
      <c r="N92" s="43"/>
      <c r="O92" s="14"/>
      <c r="P92" s="43"/>
      <c r="Q92" s="14"/>
      <c r="R92" s="43"/>
      <c r="S92" s="14"/>
      <c r="T92" s="43"/>
      <c r="U92" s="14"/>
      <c r="V92" s="43"/>
      <c r="W92" s="14"/>
      <c r="X92" s="43"/>
      <c r="Y92" s="14"/>
      <c r="Z92" s="43"/>
      <c r="AA92" s="14"/>
      <c r="AB92" s="43"/>
      <c r="AC92" s="35">
        <f t="shared" si="30"/>
        <v>0</v>
      </c>
      <c r="AD92" s="42">
        <f t="shared" si="31"/>
        <v>0</v>
      </c>
      <c r="AE92" s="14">
        <f t="shared" si="32"/>
        <v>0</v>
      </c>
      <c r="AF92" s="46">
        <f t="shared" si="33"/>
        <v>0</v>
      </c>
      <c r="AG92" s="14">
        <f t="shared" si="34"/>
        <v>0</v>
      </c>
      <c r="AH92" t="e">
        <f t="shared" si="35"/>
        <v>#DIV/0!</v>
      </c>
      <c r="AI92" s="14">
        <f t="shared" si="36"/>
        <v>0</v>
      </c>
      <c r="AJ92" s="46" t="e">
        <f t="shared" si="37"/>
        <v>#DIV/0!</v>
      </c>
      <c r="AK92" s="14">
        <f t="shared" si="38"/>
        <v>0</v>
      </c>
      <c r="AL92" s="46" t="e">
        <f t="shared" si="39"/>
        <v>#DIV/0!</v>
      </c>
    </row>
    <row r="93" spans="3:38">
      <c r="C93" s="48"/>
      <c r="D93" s="49"/>
      <c r="E93" s="14"/>
      <c r="F93" s="43"/>
      <c r="G93" s="14"/>
      <c r="H93" s="43"/>
      <c r="I93" s="14"/>
      <c r="J93" s="43"/>
      <c r="K93" s="14"/>
      <c r="L93" s="43"/>
      <c r="M93" s="14"/>
      <c r="N93" s="43"/>
      <c r="O93" s="14"/>
      <c r="P93" s="43"/>
      <c r="Q93" s="14"/>
      <c r="R93" s="43"/>
      <c r="S93" s="14"/>
      <c r="T93" s="43"/>
      <c r="U93" s="14"/>
      <c r="V93" s="43"/>
      <c r="W93" s="14"/>
      <c r="X93" s="43"/>
      <c r="Y93" s="14"/>
      <c r="Z93" s="43"/>
      <c r="AA93" s="14"/>
      <c r="AB93" s="43"/>
      <c r="AC93" s="35">
        <f t="shared" si="30"/>
        <v>0</v>
      </c>
      <c r="AD93" s="42">
        <f t="shared" si="31"/>
        <v>0</v>
      </c>
      <c r="AE93" s="14">
        <f t="shared" si="32"/>
        <v>0</v>
      </c>
      <c r="AF93" s="46">
        <f t="shared" si="33"/>
        <v>0</v>
      </c>
      <c r="AG93" s="14">
        <f t="shared" si="34"/>
        <v>0</v>
      </c>
      <c r="AH93" t="e">
        <f t="shared" si="35"/>
        <v>#DIV/0!</v>
      </c>
      <c r="AI93" s="14">
        <f t="shared" si="36"/>
        <v>0</v>
      </c>
      <c r="AJ93" s="46" t="e">
        <f t="shared" si="37"/>
        <v>#DIV/0!</v>
      </c>
      <c r="AK93" s="14">
        <f t="shared" si="38"/>
        <v>0</v>
      </c>
      <c r="AL93" s="46" t="e">
        <f t="shared" si="39"/>
        <v>#DIV/0!</v>
      </c>
    </row>
    <row r="94" spans="3:38">
      <c r="C94" s="48"/>
      <c r="D94" s="49"/>
      <c r="E94" s="14"/>
      <c r="F94" s="43"/>
      <c r="G94" s="14"/>
      <c r="H94" s="43"/>
      <c r="I94" s="14"/>
      <c r="J94" s="43"/>
      <c r="K94" s="14"/>
      <c r="L94" s="43"/>
      <c r="M94" s="14"/>
      <c r="N94" s="43"/>
      <c r="O94" s="14"/>
      <c r="P94" s="43"/>
      <c r="Q94" s="14"/>
      <c r="R94" s="43"/>
      <c r="S94" s="14"/>
      <c r="T94" s="43"/>
      <c r="U94" s="14"/>
      <c r="V94" s="43"/>
      <c r="W94" s="14"/>
      <c r="X94" s="43"/>
      <c r="Y94" s="14"/>
      <c r="Z94" s="43"/>
      <c r="AA94" s="14"/>
      <c r="AB94" s="43"/>
      <c r="AC94" s="35">
        <f t="shared" si="30"/>
        <v>0</v>
      </c>
      <c r="AD94" s="42">
        <f t="shared" si="31"/>
        <v>0</v>
      </c>
      <c r="AE94" s="14">
        <f t="shared" si="32"/>
        <v>0</v>
      </c>
      <c r="AF94" s="46">
        <f t="shared" si="33"/>
        <v>0</v>
      </c>
      <c r="AG94" s="14">
        <f t="shared" si="34"/>
        <v>0</v>
      </c>
      <c r="AH94" t="e">
        <f t="shared" si="35"/>
        <v>#DIV/0!</v>
      </c>
      <c r="AI94" s="14">
        <f t="shared" si="36"/>
        <v>0</v>
      </c>
      <c r="AJ94" s="46" t="e">
        <f t="shared" si="37"/>
        <v>#DIV/0!</v>
      </c>
      <c r="AK94" s="14">
        <f t="shared" si="38"/>
        <v>0</v>
      </c>
      <c r="AL94" s="46" t="e">
        <f t="shared" si="39"/>
        <v>#DIV/0!</v>
      </c>
    </row>
    <row r="95" spans="3:38">
      <c r="C95" s="48"/>
      <c r="D95" s="49"/>
      <c r="E95" s="14"/>
      <c r="F95" s="43"/>
      <c r="G95" s="14"/>
      <c r="H95" s="43"/>
      <c r="I95" s="14"/>
      <c r="J95" s="43"/>
      <c r="K95" s="14"/>
      <c r="L95" s="43"/>
      <c r="M95" s="14"/>
      <c r="N95" s="43"/>
      <c r="O95" s="14"/>
      <c r="P95" s="43"/>
      <c r="Q95" s="14"/>
      <c r="R95" s="43"/>
      <c r="S95" s="14"/>
      <c r="T95" s="43"/>
      <c r="U95" s="14"/>
      <c r="V95" s="43"/>
      <c r="W95" s="14"/>
      <c r="X95" s="43"/>
      <c r="Y95" s="14"/>
      <c r="Z95" s="43"/>
      <c r="AA95" s="14"/>
      <c r="AB95" s="43"/>
      <c r="AC95" s="35">
        <f t="shared" si="30"/>
        <v>0</v>
      </c>
      <c r="AD95" s="42">
        <f t="shared" si="31"/>
        <v>0</v>
      </c>
      <c r="AE95" s="14">
        <f t="shared" si="32"/>
        <v>0</v>
      </c>
      <c r="AF95" s="46">
        <f t="shared" si="33"/>
        <v>0</v>
      </c>
      <c r="AG95" s="14">
        <f t="shared" si="34"/>
        <v>0</v>
      </c>
      <c r="AH95" t="e">
        <f t="shared" si="35"/>
        <v>#DIV/0!</v>
      </c>
      <c r="AI95" s="14">
        <f t="shared" si="36"/>
        <v>0</v>
      </c>
      <c r="AJ95" s="46" t="e">
        <f t="shared" si="37"/>
        <v>#DIV/0!</v>
      </c>
      <c r="AK95" s="14">
        <f t="shared" si="38"/>
        <v>0</v>
      </c>
      <c r="AL95" s="46" t="e">
        <f t="shared" si="39"/>
        <v>#DIV/0!</v>
      </c>
    </row>
    <row r="96" spans="3:38">
      <c r="C96" s="48"/>
      <c r="D96" s="49"/>
      <c r="E96" s="14"/>
      <c r="F96" s="43"/>
      <c r="G96" s="14"/>
      <c r="H96" s="43"/>
      <c r="I96" s="14"/>
      <c r="J96" s="43"/>
      <c r="K96" s="14"/>
      <c r="L96" s="43"/>
      <c r="M96" s="14"/>
      <c r="N96" s="43"/>
      <c r="O96" s="14"/>
      <c r="P96" s="43"/>
      <c r="Q96" s="14"/>
      <c r="R96" s="43"/>
      <c r="S96" s="14"/>
      <c r="T96" s="43"/>
      <c r="U96" s="14"/>
      <c r="V96" s="43"/>
      <c r="W96" s="14"/>
      <c r="X96" s="43"/>
      <c r="Y96" s="14"/>
      <c r="Z96" s="43"/>
      <c r="AA96" s="14"/>
      <c r="AB96" s="43"/>
      <c r="AC96" s="35">
        <f t="shared" si="30"/>
        <v>0</v>
      </c>
      <c r="AD96" s="42">
        <f t="shared" si="31"/>
        <v>0</v>
      </c>
      <c r="AE96" s="14">
        <f t="shared" si="32"/>
        <v>0</v>
      </c>
      <c r="AF96" s="46">
        <f t="shared" si="33"/>
        <v>0</v>
      </c>
      <c r="AG96" s="14">
        <f t="shared" si="34"/>
        <v>0</v>
      </c>
      <c r="AH96" t="e">
        <f t="shared" si="35"/>
        <v>#DIV/0!</v>
      </c>
      <c r="AI96" s="14">
        <f t="shared" si="36"/>
        <v>0</v>
      </c>
      <c r="AJ96" s="46" t="e">
        <f t="shared" si="37"/>
        <v>#DIV/0!</v>
      </c>
      <c r="AK96" s="14">
        <f t="shared" si="38"/>
        <v>0</v>
      </c>
      <c r="AL96" s="46" t="e">
        <f t="shared" si="39"/>
        <v>#DIV/0!</v>
      </c>
    </row>
    <row r="97" spans="2:38">
      <c r="C97" s="48"/>
      <c r="D97" s="49"/>
      <c r="E97" s="14"/>
      <c r="F97" s="43"/>
      <c r="G97" s="14"/>
      <c r="H97" s="43"/>
      <c r="I97" s="14"/>
      <c r="J97" s="43"/>
      <c r="K97" s="14"/>
      <c r="L97" s="43"/>
      <c r="M97" s="14"/>
      <c r="N97" s="43"/>
      <c r="O97" s="14"/>
      <c r="P97" s="43"/>
      <c r="Q97" s="14"/>
      <c r="R97" s="43"/>
      <c r="S97" s="14"/>
      <c r="T97" s="43"/>
      <c r="U97" s="14"/>
      <c r="V97" s="43"/>
      <c r="W97" s="14"/>
      <c r="X97" s="43"/>
      <c r="Y97" s="14"/>
      <c r="Z97" s="43"/>
      <c r="AA97" s="14"/>
      <c r="AB97" s="43"/>
      <c r="AC97" s="35">
        <f t="shared" si="30"/>
        <v>0</v>
      </c>
      <c r="AD97" s="42">
        <f t="shared" si="31"/>
        <v>0</v>
      </c>
      <c r="AE97" s="14">
        <f t="shared" si="32"/>
        <v>0</v>
      </c>
      <c r="AF97" s="46">
        <f t="shared" si="33"/>
        <v>0</v>
      </c>
      <c r="AG97" s="14">
        <f t="shared" si="34"/>
        <v>0</v>
      </c>
      <c r="AH97" t="e">
        <f t="shared" si="35"/>
        <v>#DIV/0!</v>
      </c>
      <c r="AI97" s="14">
        <f t="shared" si="36"/>
        <v>0</v>
      </c>
      <c r="AJ97" s="46" t="e">
        <f t="shared" si="37"/>
        <v>#DIV/0!</v>
      </c>
      <c r="AK97" s="14">
        <f t="shared" si="38"/>
        <v>0</v>
      </c>
      <c r="AL97" s="46" t="e">
        <f t="shared" si="39"/>
        <v>#DIV/0!</v>
      </c>
    </row>
    <row r="98" spans="2:38">
      <c r="C98" s="48"/>
      <c r="D98" s="49"/>
      <c r="E98" s="14"/>
      <c r="F98" s="43"/>
      <c r="G98" s="14"/>
      <c r="H98" s="43"/>
      <c r="I98" s="14"/>
      <c r="J98" s="43"/>
      <c r="K98" s="14"/>
      <c r="L98" s="43"/>
      <c r="M98" s="14"/>
      <c r="N98" s="43"/>
      <c r="O98" s="14"/>
      <c r="P98" s="43"/>
      <c r="Q98" s="14"/>
      <c r="R98" s="43"/>
      <c r="S98" s="14"/>
      <c r="T98" s="43"/>
      <c r="U98" s="14"/>
      <c r="V98" s="43"/>
      <c r="W98" s="14"/>
      <c r="X98" s="43"/>
      <c r="Y98" s="14"/>
      <c r="Z98" s="43"/>
      <c r="AA98" s="14"/>
      <c r="AB98" s="43"/>
      <c r="AC98" s="35">
        <f t="shared" si="30"/>
        <v>0</v>
      </c>
      <c r="AD98" s="42">
        <f t="shared" si="31"/>
        <v>0</v>
      </c>
      <c r="AE98" s="14">
        <f t="shared" si="32"/>
        <v>0</v>
      </c>
      <c r="AF98" s="46">
        <f t="shared" si="33"/>
        <v>0</v>
      </c>
      <c r="AG98" s="14">
        <f t="shared" si="34"/>
        <v>0</v>
      </c>
      <c r="AH98" t="e">
        <f t="shared" si="35"/>
        <v>#DIV/0!</v>
      </c>
      <c r="AI98" s="14">
        <f t="shared" si="36"/>
        <v>0</v>
      </c>
      <c r="AJ98" s="46" t="e">
        <f t="shared" si="37"/>
        <v>#DIV/0!</v>
      </c>
      <c r="AK98" s="14">
        <f t="shared" si="38"/>
        <v>0</v>
      </c>
      <c r="AL98" s="46" t="e">
        <f t="shared" si="39"/>
        <v>#DIV/0!</v>
      </c>
    </row>
    <row r="99" spans="2:38">
      <c r="C99" s="48"/>
      <c r="D99" s="49"/>
      <c r="E99" s="14"/>
      <c r="F99" s="43"/>
      <c r="G99" s="14"/>
      <c r="H99" s="43"/>
      <c r="I99" s="14"/>
      <c r="J99" s="43"/>
      <c r="K99" s="14"/>
      <c r="L99" s="43"/>
      <c r="M99" s="14"/>
      <c r="N99" s="43"/>
      <c r="O99" s="14"/>
      <c r="P99" s="43"/>
      <c r="Q99" s="14"/>
      <c r="R99" s="43"/>
      <c r="S99" s="14"/>
      <c r="T99" s="43"/>
      <c r="U99" s="14"/>
      <c r="V99" s="43"/>
      <c r="W99" s="14"/>
      <c r="X99" s="43"/>
      <c r="Y99" s="14"/>
      <c r="Z99" s="43"/>
      <c r="AA99" s="14"/>
      <c r="AB99" s="43"/>
      <c r="AC99" s="35">
        <f t="shared" si="30"/>
        <v>0</v>
      </c>
      <c r="AD99" s="42">
        <f t="shared" si="31"/>
        <v>0</v>
      </c>
      <c r="AE99" s="14">
        <f t="shared" si="32"/>
        <v>0</v>
      </c>
      <c r="AF99" s="46">
        <f t="shared" si="33"/>
        <v>0</v>
      </c>
      <c r="AG99" s="14">
        <f t="shared" si="34"/>
        <v>0</v>
      </c>
      <c r="AH99" t="e">
        <f t="shared" si="35"/>
        <v>#DIV/0!</v>
      </c>
      <c r="AI99" s="14">
        <f t="shared" si="36"/>
        <v>0</v>
      </c>
      <c r="AJ99" s="46" t="e">
        <f t="shared" si="37"/>
        <v>#DIV/0!</v>
      </c>
      <c r="AK99" s="14">
        <f t="shared" si="38"/>
        <v>0</v>
      </c>
      <c r="AL99" s="46" t="e">
        <f t="shared" si="39"/>
        <v>#DIV/0!</v>
      </c>
    </row>
    <row r="100" spans="2:38">
      <c r="C100" s="48"/>
      <c r="D100" s="49"/>
      <c r="E100" s="14"/>
      <c r="F100" s="43"/>
      <c r="G100" s="14"/>
      <c r="H100" s="43"/>
      <c r="I100" s="14"/>
      <c r="J100" s="43"/>
      <c r="K100" s="14"/>
      <c r="L100" s="43"/>
      <c r="M100" s="14"/>
      <c r="N100" s="43"/>
      <c r="O100" s="14"/>
      <c r="P100" s="43"/>
      <c r="Q100" s="14"/>
      <c r="R100" s="43"/>
      <c r="S100" s="14"/>
      <c r="T100" s="43"/>
      <c r="U100" s="14"/>
      <c r="V100" s="43"/>
      <c r="W100" s="14"/>
      <c r="X100" s="43"/>
      <c r="Y100" s="14"/>
      <c r="Z100" s="43"/>
      <c r="AA100" s="14"/>
      <c r="AB100" s="43"/>
      <c r="AC100" s="35">
        <f t="shared" si="30"/>
        <v>0</v>
      </c>
      <c r="AD100" s="42">
        <f t="shared" si="31"/>
        <v>0</v>
      </c>
      <c r="AE100" s="14">
        <f t="shared" si="32"/>
        <v>0</v>
      </c>
      <c r="AF100" s="46">
        <f t="shared" si="33"/>
        <v>0</v>
      </c>
      <c r="AG100" s="14">
        <f t="shared" si="34"/>
        <v>0</v>
      </c>
      <c r="AH100" t="e">
        <f t="shared" si="35"/>
        <v>#DIV/0!</v>
      </c>
      <c r="AI100" s="14">
        <f t="shared" si="36"/>
        <v>0</v>
      </c>
      <c r="AJ100" s="46" t="e">
        <f t="shared" si="37"/>
        <v>#DIV/0!</v>
      </c>
      <c r="AK100" s="14">
        <f t="shared" si="38"/>
        <v>0</v>
      </c>
      <c r="AL100" s="46" t="e">
        <f t="shared" si="39"/>
        <v>#DIV/0!</v>
      </c>
    </row>
    <row r="101" spans="2:38">
      <c r="C101" s="48"/>
      <c r="D101" s="49"/>
      <c r="E101" s="14"/>
      <c r="F101" s="43"/>
      <c r="G101" s="14"/>
      <c r="H101" s="43"/>
      <c r="I101" s="14"/>
      <c r="J101" s="43"/>
      <c r="K101" s="14"/>
      <c r="L101" s="43"/>
      <c r="M101" s="14"/>
      <c r="N101" s="43"/>
      <c r="O101" s="14"/>
      <c r="P101" s="43"/>
      <c r="Q101" s="14"/>
      <c r="R101" s="43"/>
      <c r="S101" s="14"/>
      <c r="T101" s="43"/>
      <c r="U101" s="14"/>
      <c r="V101" s="43"/>
      <c r="W101" s="14"/>
      <c r="X101" s="43"/>
      <c r="Y101" s="14"/>
      <c r="Z101" s="43"/>
      <c r="AA101" s="14"/>
      <c r="AB101" s="43"/>
      <c r="AC101" s="35">
        <f t="shared" si="30"/>
        <v>0</v>
      </c>
      <c r="AD101" s="42">
        <f t="shared" si="31"/>
        <v>0</v>
      </c>
      <c r="AE101" s="14">
        <f t="shared" si="32"/>
        <v>0</v>
      </c>
      <c r="AF101" s="46">
        <f t="shared" si="33"/>
        <v>0</v>
      </c>
      <c r="AG101" s="14">
        <f t="shared" si="34"/>
        <v>0</v>
      </c>
      <c r="AH101" t="e">
        <f t="shared" si="35"/>
        <v>#DIV/0!</v>
      </c>
      <c r="AI101" s="14">
        <f t="shared" si="36"/>
        <v>0</v>
      </c>
      <c r="AJ101" s="46" t="e">
        <f t="shared" si="37"/>
        <v>#DIV/0!</v>
      </c>
      <c r="AK101" s="14">
        <f t="shared" si="38"/>
        <v>0</v>
      </c>
      <c r="AL101" s="46" t="e">
        <f t="shared" si="39"/>
        <v>#DIV/0!</v>
      </c>
    </row>
    <row r="102" spans="2:38">
      <c r="C102" s="48"/>
      <c r="D102" s="49"/>
      <c r="E102" s="14"/>
      <c r="F102" s="43"/>
      <c r="G102" s="14"/>
      <c r="H102" s="43"/>
      <c r="I102" s="14"/>
      <c r="J102" s="43"/>
      <c r="K102" s="14"/>
      <c r="L102" s="43"/>
      <c r="M102" s="14"/>
      <c r="N102" s="43"/>
      <c r="O102" s="14"/>
      <c r="P102" s="43"/>
      <c r="Q102" s="14"/>
      <c r="R102" s="43"/>
      <c r="S102" s="14"/>
      <c r="T102" s="43"/>
      <c r="U102" s="14"/>
      <c r="V102" s="43"/>
      <c r="W102" s="14"/>
      <c r="X102" s="43"/>
      <c r="Y102" s="14"/>
      <c r="Z102" s="43"/>
      <c r="AA102" s="14"/>
      <c r="AB102" s="43"/>
      <c r="AC102" s="35">
        <f t="shared" si="30"/>
        <v>0</v>
      </c>
      <c r="AD102" s="42">
        <f t="shared" si="31"/>
        <v>0</v>
      </c>
      <c r="AE102" s="14">
        <f t="shared" si="32"/>
        <v>0</v>
      </c>
      <c r="AF102" s="46">
        <f t="shared" si="33"/>
        <v>0</v>
      </c>
      <c r="AG102" s="14">
        <f t="shared" si="34"/>
        <v>0</v>
      </c>
      <c r="AH102" t="e">
        <f t="shared" si="35"/>
        <v>#DIV/0!</v>
      </c>
      <c r="AI102" s="14">
        <f t="shared" si="36"/>
        <v>0</v>
      </c>
      <c r="AJ102" s="46" t="e">
        <f t="shared" si="37"/>
        <v>#DIV/0!</v>
      </c>
      <c r="AK102" s="14">
        <f t="shared" si="38"/>
        <v>0</v>
      </c>
      <c r="AL102" s="46" t="e">
        <f t="shared" si="39"/>
        <v>#DIV/0!</v>
      </c>
    </row>
    <row r="103" spans="2:38">
      <c r="C103" s="48"/>
      <c r="D103" s="49"/>
      <c r="E103" s="14"/>
      <c r="F103" s="43"/>
      <c r="G103" s="14"/>
      <c r="H103" s="43"/>
      <c r="I103" s="14"/>
      <c r="J103" s="43"/>
      <c r="K103" s="14"/>
      <c r="L103" s="43"/>
      <c r="M103" s="14"/>
      <c r="N103" s="43"/>
      <c r="O103" s="14"/>
      <c r="P103" s="43"/>
      <c r="Q103" s="14"/>
      <c r="R103" s="43"/>
      <c r="S103" s="14"/>
      <c r="T103" s="43"/>
      <c r="U103" s="14"/>
      <c r="V103" s="43"/>
      <c r="W103" s="14"/>
      <c r="X103" s="43"/>
      <c r="Y103" s="14"/>
      <c r="Z103" s="43"/>
      <c r="AA103" s="14"/>
      <c r="AB103" s="43"/>
      <c r="AC103" s="35">
        <f t="shared" si="30"/>
        <v>0</v>
      </c>
      <c r="AD103" s="42">
        <f t="shared" si="31"/>
        <v>0</v>
      </c>
      <c r="AE103" s="14">
        <f t="shared" si="32"/>
        <v>0</v>
      </c>
      <c r="AF103" s="46">
        <f t="shared" si="33"/>
        <v>0</v>
      </c>
      <c r="AG103" s="14">
        <f t="shared" si="34"/>
        <v>0</v>
      </c>
      <c r="AH103" t="e">
        <f t="shared" si="35"/>
        <v>#DIV/0!</v>
      </c>
      <c r="AI103" s="14">
        <f t="shared" si="36"/>
        <v>0</v>
      </c>
      <c r="AJ103" s="46" t="e">
        <f t="shared" si="37"/>
        <v>#DIV/0!</v>
      </c>
      <c r="AK103" s="14">
        <f t="shared" si="38"/>
        <v>0</v>
      </c>
      <c r="AL103" s="46" t="e">
        <f t="shared" si="39"/>
        <v>#DIV/0!</v>
      </c>
    </row>
    <row r="104" spans="2:38">
      <c r="C104" s="48"/>
      <c r="D104" s="49"/>
      <c r="E104" s="14"/>
      <c r="F104" s="43"/>
      <c r="G104" s="14"/>
      <c r="H104" s="43"/>
      <c r="I104" s="14"/>
      <c r="J104" s="43"/>
      <c r="K104" s="14"/>
      <c r="L104" s="43"/>
      <c r="M104" s="14"/>
      <c r="N104" s="43"/>
      <c r="O104" s="14"/>
      <c r="P104" s="43"/>
      <c r="Q104" s="14"/>
      <c r="R104" s="43"/>
      <c r="S104" s="14"/>
      <c r="T104" s="43"/>
      <c r="U104" s="14"/>
      <c r="V104" s="43"/>
      <c r="W104" s="14"/>
      <c r="X104" s="43"/>
      <c r="Y104" s="14"/>
      <c r="Z104" s="43"/>
      <c r="AA104" s="14"/>
      <c r="AB104" s="43"/>
      <c r="AC104" s="35">
        <f t="shared" si="30"/>
        <v>0</v>
      </c>
      <c r="AD104" s="42">
        <f t="shared" si="31"/>
        <v>0</v>
      </c>
      <c r="AE104" s="14">
        <f t="shared" si="32"/>
        <v>0</v>
      </c>
      <c r="AF104" s="46">
        <f t="shared" si="33"/>
        <v>0</v>
      </c>
      <c r="AG104" s="14">
        <f t="shared" si="34"/>
        <v>0</v>
      </c>
      <c r="AH104" t="e">
        <f t="shared" si="35"/>
        <v>#DIV/0!</v>
      </c>
      <c r="AI104" s="14">
        <f t="shared" si="36"/>
        <v>0</v>
      </c>
      <c r="AJ104" s="46" t="e">
        <f t="shared" si="37"/>
        <v>#DIV/0!</v>
      </c>
      <c r="AK104" s="14">
        <f t="shared" si="38"/>
        <v>0</v>
      </c>
      <c r="AL104" s="46" t="e">
        <f t="shared" si="39"/>
        <v>#DIV/0!</v>
      </c>
    </row>
    <row r="105" spans="2:38">
      <c r="C105" s="48"/>
      <c r="D105" s="49"/>
      <c r="E105" s="14"/>
      <c r="F105" s="43"/>
      <c r="G105" s="14"/>
      <c r="H105" s="43"/>
      <c r="I105" s="14"/>
      <c r="J105" s="43"/>
      <c r="K105" s="14"/>
      <c r="L105" s="43"/>
      <c r="M105" s="14"/>
      <c r="N105" s="43"/>
      <c r="O105" s="14"/>
      <c r="P105" s="43"/>
      <c r="Q105" s="14"/>
      <c r="R105" s="43"/>
      <c r="S105" s="14"/>
      <c r="T105" s="43"/>
      <c r="U105" s="14"/>
      <c r="V105" s="43"/>
      <c r="W105" s="14"/>
      <c r="X105" s="43"/>
      <c r="Y105" s="14"/>
      <c r="Z105" s="43"/>
      <c r="AA105" s="14"/>
      <c r="AB105" s="43"/>
      <c r="AC105" s="35">
        <f t="shared" si="30"/>
        <v>0</v>
      </c>
      <c r="AD105" s="42">
        <f t="shared" si="31"/>
        <v>0</v>
      </c>
      <c r="AE105" s="14">
        <f t="shared" si="32"/>
        <v>0</v>
      </c>
      <c r="AF105" s="46">
        <f t="shared" si="33"/>
        <v>0</v>
      </c>
      <c r="AG105" s="14">
        <f t="shared" si="34"/>
        <v>0</v>
      </c>
      <c r="AH105" t="e">
        <f t="shared" si="35"/>
        <v>#DIV/0!</v>
      </c>
      <c r="AI105" s="14">
        <f t="shared" si="36"/>
        <v>0</v>
      </c>
      <c r="AJ105" s="46" t="e">
        <f t="shared" si="37"/>
        <v>#DIV/0!</v>
      </c>
      <c r="AK105" s="14">
        <f t="shared" si="38"/>
        <v>0</v>
      </c>
      <c r="AL105" s="46" t="e">
        <f t="shared" si="39"/>
        <v>#DIV/0!</v>
      </c>
    </row>
    <row r="106" spans="2:38">
      <c r="C106" s="48"/>
      <c r="D106" s="49"/>
      <c r="E106" s="14"/>
      <c r="F106" s="43"/>
      <c r="G106" s="14"/>
      <c r="H106" s="43"/>
      <c r="I106" s="14"/>
      <c r="J106" s="43"/>
      <c r="K106" s="14"/>
      <c r="L106" s="43"/>
      <c r="M106" s="14"/>
      <c r="N106" s="43"/>
      <c r="O106" s="14"/>
      <c r="P106" s="43"/>
      <c r="Q106" s="14"/>
      <c r="R106" s="43"/>
      <c r="S106" s="14"/>
      <c r="T106" s="43"/>
      <c r="U106" s="14"/>
      <c r="V106" s="43"/>
      <c r="W106" s="14"/>
      <c r="X106" s="43"/>
      <c r="Y106" s="14"/>
      <c r="Z106" s="43"/>
      <c r="AA106" s="14"/>
      <c r="AB106" s="43"/>
      <c r="AC106" s="35">
        <f t="shared" si="30"/>
        <v>0</v>
      </c>
      <c r="AD106" s="42">
        <f t="shared" si="31"/>
        <v>0</v>
      </c>
      <c r="AE106" s="14">
        <f t="shared" si="32"/>
        <v>0</v>
      </c>
      <c r="AF106" s="46">
        <f t="shared" si="33"/>
        <v>0</v>
      </c>
      <c r="AG106" s="14">
        <f t="shared" si="34"/>
        <v>0</v>
      </c>
      <c r="AH106" t="e">
        <f t="shared" si="35"/>
        <v>#DIV/0!</v>
      </c>
      <c r="AI106" s="14">
        <f t="shared" si="36"/>
        <v>0</v>
      </c>
      <c r="AJ106" s="46" t="e">
        <f t="shared" si="37"/>
        <v>#DIV/0!</v>
      </c>
      <c r="AK106" s="14">
        <f t="shared" si="38"/>
        <v>0</v>
      </c>
      <c r="AL106" s="46" t="e">
        <f t="shared" si="39"/>
        <v>#DIV/0!</v>
      </c>
    </row>
    <row r="107" spans="2:38">
      <c r="B107" s="47"/>
      <c r="C107" s="48"/>
      <c r="D107" s="49"/>
      <c r="E107" s="14"/>
      <c r="F107" s="43"/>
      <c r="G107" s="14"/>
      <c r="H107" s="43"/>
      <c r="I107" s="14"/>
      <c r="J107" s="43"/>
      <c r="K107" s="14"/>
      <c r="L107" s="43"/>
      <c r="M107" s="14"/>
      <c r="N107" s="43"/>
      <c r="O107" s="14"/>
      <c r="P107" s="43"/>
      <c r="Q107" s="14"/>
      <c r="R107" s="43"/>
      <c r="S107" s="14"/>
      <c r="T107" s="43"/>
      <c r="U107" s="14"/>
      <c r="V107" s="43"/>
      <c r="W107" s="14"/>
      <c r="X107" s="43"/>
      <c r="Y107" s="14"/>
      <c r="Z107" s="43"/>
      <c r="AA107" s="14"/>
      <c r="AB107" s="43"/>
      <c r="AC107" s="35">
        <f t="shared" si="30"/>
        <v>0</v>
      </c>
      <c r="AD107" s="42">
        <f t="shared" si="31"/>
        <v>0</v>
      </c>
      <c r="AE107" s="14">
        <f t="shared" si="32"/>
        <v>0</v>
      </c>
      <c r="AF107" s="46">
        <f t="shared" si="33"/>
        <v>0</v>
      </c>
      <c r="AG107" s="14">
        <f t="shared" si="34"/>
        <v>0</v>
      </c>
      <c r="AH107" t="e">
        <f t="shared" si="35"/>
        <v>#DIV/0!</v>
      </c>
      <c r="AI107" s="14">
        <f t="shared" si="36"/>
        <v>0</v>
      </c>
      <c r="AJ107" s="46" t="e">
        <f t="shared" si="37"/>
        <v>#DIV/0!</v>
      </c>
      <c r="AK107" s="14">
        <f t="shared" si="38"/>
        <v>0</v>
      </c>
      <c r="AL107" s="46" t="e">
        <f t="shared" si="39"/>
        <v>#DIV/0!</v>
      </c>
    </row>
    <row r="108" spans="2:38">
      <c r="B108" s="47"/>
      <c r="C108" s="48"/>
      <c r="D108" s="49"/>
      <c r="E108" s="14"/>
      <c r="F108" s="43"/>
      <c r="G108" s="14"/>
      <c r="H108" s="43"/>
      <c r="I108" s="14"/>
      <c r="J108" s="43"/>
      <c r="K108" s="14"/>
      <c r="L108" s="43"/>
      <c r="M108" s="14"/>
      <c r="N108" s="43"/>
      <c r="O108" s="14"/>
      <c r="P108" s="43"/>
      <c r="Q108" s="14"/>
      <c r="R108" s="43"/>
      <c r="S108" s="14"/>
      <c r="T108" s="43"/>
      <c r="U108" s="14"/>
      <c r="V108" s="43"/>
      <c r="W108" s="14"/>
      <c r="X108" s="43"/>
      <c r="Y108" s="14"/>
      <c r="Z108" s="43"/>
      <c r="AA108" s="14"/>
      <c r="AB108" s="43"/>
      <c r="AC108" s="35">
        <f t="shared" si="30"/>
        <v>0</v>
      </c>
      <c r="AD108" s="42">
        <f t="shared" si="31"/>
        <v>0</v>
      </c>
      <c r="AE108" s="14">
        <f t="shared" si="32"/>
        <v>0</v>
      </c>
      <c r="AF108" s="46">
        <f t="shared" si="33"/>
        <v>0</v>
      </c>
      <c r="AG108" s="14">
        <f t="shared" si="34"/>
        <v>0</v>
      </c>
      <c r="AH108" t="e">
        <f t="shared" si="35"/>
        <v>#DIV/0!</v>
      </c>
      <c r="AI108" s="14">
        <f t="shared" si="36"/>
        <v>0</v>
      </c>
      <c r="AJ108" s="46" t="e">
        <f t="shared" si="37"/>
        <v>#DIV/0!</v>
      </c>
      <c r="AK108" s="14">
        <f t="shared" si="38"/>
        <v>0</v>
      </c>
      <c r="AL108" s="46" t="e">
        <f t="shared" si="39"/>
        <v>#DIV/0!</v>
      </c>
    </row>
    <row r="109" spans="2:38">
      <c r="B109" s="47"/>
      <c r="C109" s="48"/>
      <c r="D109" s="49"/>
      <c r="E109" s="14"/>
      <c r="F109" s="43"/>
      <c r="G109" s="14"/>
      <c r="H109" s="43"/>
      <c r="I109" s="14"/>
      <c r="J109" s="43"/>
      <c r="K109" s="14"/>
      <c r="L109" s="43"/>
      <c r="M109" s="14"/>
      <c r="N109" s="43"/>
      <c r="O109" s="14"/>
      <c r="P109" s="43"/>
      <c r="Q109" s="14"/>
      <c r="R109" s="43"/>
      <c r="S109" s="14"/>
      <c r="T109" s="43"/>
      <c r="U109" s="14"/>
      <c r="V109" s="43"/>
      <c r="W109" s="14"/>
      <c r="X109" s="43"/>
      <c r="Y109" s="14"/>
      <c r="Z109" s="43"/>
      <c r="AA109" s="14"/>
      <c r="AB109" s="43"/>
      <c r="AC109" s="35">
        <f t="shared" si="30"/>
        <v>0</v>
      </c>
      <c r="AD109" s="42">
        <f t="shared" si="31"/>
        <v>0</v>
      </c>
      <c r="AE109" s="14">
        <f t="shared" si="32"/>
        <v>0</v>
      </c>
      <c r="AF109" s="46">
        <f t="shared" si="33"/>
        <v>0</v>
      </c>
      <c r="AG109" s="14">
        <f t="shared" si="34"/>
        <v>0</v>
      </c>
      <c r="AH109" t="e">
        <f t="shared" si="35"/>
        <v>#DIV/0!</v>
      </c>
      <c r="AI109" s="14">
        <f t="shared" si="36"/>
        <v>0</v>
      </c>
      <c r="AJ109" s="46" t="e">
        <f t="shared" si="37"/>
        <v>#DIV/0!</v>
      </c>
      <c r="AK109" s="14">
        <f t="shared" si="38"/>
        <v>0</v>
      </c>
      <c r="AL109" s="46" t="e">
        <f t="shared" si="39"/>
        <v>#DIV/0!</v>
      </c>
    </row>
    <row r="110" spans="2:38">
      <c r="B110" s="47"/>
      <c r="C110" s="48"/>
      <c r="D110" s="49"/>
      <c r="E110" s="14"/>
      <c r="F110" s="43"/>
      <c r="G110" s="14"/>
      <c r="H110" s="43"/>
      <c r="I110" s="14"/>
      <c r="J110" s="43"/>
      <c r="K110" s="14"/>
      <c r="L110" s="43"/>
      <c r="M110" s="14"/>
      <c r="N110" s="43"/>
      <c r="O110" s="14"/>
      <c r="P110" s="43"/>
      <c r="Q110" s="14"/>
      <c r="R110" s="43"/>
      <c r="S110" s="14"/>
      <c r="T110" s="43"/>
      <c r="U110" s="14"/>
      <c r="V110" s="43"/>
      <c r="W110" s="14"/>
      <c r="X110" s="43"/>
      <c r="Y110" s="14"/>
      <c r="Z110" s="43"/>
      <c r="AA110" s="14"/>
      <c r="AB110" s="43"/>
      <c r="AC110" s="35">
        <f t="shared" ref="AC110" si="40">AA110+Y110+W110+U110+S110+Q110+O110+M110+K110+I110+G110+E110</f>
        <v>0</v>
      </c>
      <c r="AD110" s="42">
        <f t="shared" ref="AD110" si="41">AB110+Z110+X110+V110+T110+R110+P110+N110+L110+J110+H110+F110</f>
        <v>0</v>
      </c>
      <c r="AE110" s="14">
        <f t="shared" si="32"/>
        <v>0</v>
      </c>
      <c r="AF110" s="46">
        <f t="shared" si="33"/>
        <v>0</v>
      </c>
      <c r="AG110" s="14">
        <f t="shared" si="34"/>
        <v>0</v>
      </c>
      <c r="AH110" t="e">
        <f t="shared" si="35"/>
        <v>#DIV/0!</v>
      </c>
      <c r="AI110" s="14">
        <f t="shared" si="36"/>
        <v>0</v>
      </c>
      <c r="AJ110" s="46" t="e">
        <f t="shared" si="37"/>
        <v>#DIV/0!</v>
      </c>
      <c r="AK110" s="14">
        <f t="shared" si="38"/>
        <v>0</v>
      </c>
      <c r="AL110" s="46" t="e">
        <f t="shared" si="39"/>
        <v>#DIV/0!</v>
      </c>
    </row>
    <row r="111" spans="2:38">
      <c r="B111" s="47"/>
      <c r="C111" s="48"/>
      <c r="D111" s="49"/>
      <c r="E111" s="14"/>
      <c r="F111" s="43"/>
      <c r="G111" s="14"/>
      <c r="H111" s="43"/>
      <c r="I111" s="14"/>
      <c r="J111" s="43"/>
      <c r="K111" s="14"/>
      <c r="L111" s="43"/>
      <c r="M111" s="14"/>
      <c r="N111" s="43"/>
      <c r="O111" s="14"/>
      <c r="P111" s="43"/>
      <c r="Q111" s="14"/>
      <c r="R111" s="43"/>
      <c r="S111" s="14"/>
      <c r="T111" s="43"/>
      <c r="U111" s="14"/>
      <c r="V111" s="43"/>
      <c r="W111" s="14"/>
      <c r="X111" s="43"/>
      <c r="Y111" s="14"/>
      <c r="Z111" s="43"/>
      <c r="AA111" s="14"/>
      <c r="AB111" s="43"/>
      <c r="AC111" s="35">
        <f t="shared" si="30"/>
        <v>0</v>
      </c>
      <c r="AD111" s="42">
        <f t="shared" si="31"/>
        <v>0</v>
      </c>
      <c r="AE111" s="14">
        <f t="shared" si="32"/>
        <v>0</v>
      </c>
      <c r="AF111" s="46">
        <f t="shared" si="33"/>
        <v>0</v>
      </c>
      <c r="AG111" s="14">
        <f t="shared" si="34"/>
        <v>0</v>
      </c>
      <c r="AH111" t="e">
        <f t="shared" si="35"/>
        <v>#DIV/0!</v>
      </c>
      <c r="AI111" s="14">
        <f t="shared" si="36"/>
        <v>0</v>
      </c>
      <c r="AJ111" s="46" t="e">
        <f t="shared" si="37"/>
        <v>#DIV/0!</v>
      </c>
      <c r="AK111" s="14">
        <f t="shared" si="38"/>
        <v>0</v>
      </c>
      <c r="AL111" s="46" t="e">
        <f t="shared" si="39"/>
        <v>#DIV/0!</v>
      </c>
    </row>
    <row r="112" spans="2:38">
      <c r="B112" s="47"/>
      <c r="C112" s="48"/>
      <c r="D112" s="49"/>
      <c r="E112" s="14"/>
      <c r="F112" s="43"/>
      <c r="G112" s="14"/>
      <c r="H112" s="43"/>
      <c r="I112" s="14"/>
      <c r="J112" s="43"/>
      <c r="K112" s="14"/>
      <c r="L112" s="43"/>
      <c r="M112" s="14"/>
      <c r="N112" s="43"/>
      <c r="O112" s="14"/>
      <c r="P112" s="43"/>
      <c r="Q112" s="14"/>
      <c r="R112" s="43"/>
      <c r="S112" s="14"/>
      <c r="T112" s="43"/>
      <c r="U112" s="14"/>
      <c r="V112" s="43"/>
      <c r="W112" s="14"/>
      <c r="X112" s="43"/>
      <c r="Y112" s="14"/>
      <c r="Z112" s="43"/>
      <c r="AA112" s="14"/>
      <c r="AB112" s="43"/>
      <c r="AC112" s="35">
        <f t="shared" si="30"/>
        <v>0</v>
      </c>
      <c r="AD112" s="42">
        <f t="shared" si="31"/>
        <v>0</v>
      </c>
      <c r="AE112" s="14">
        <f t="shared" si="32"/>
        <v>0</v>
      </c>
      <c r="AF112" s="46">
        <f t="shared" si="33"/>
        <v>0</v>
      </c>
      <c r="AG112" s="14">
        <f t="shared" si="34"/>
        <v>0</v>
      </c>
      <c r="AH112" t="e">
        <f t="shared" si="35"/>
        <v>#DIV/0!</v>
      </c>
      <c r="AI112" s="14">
        <f t="shared" si="36"/>
        <v>0</v>
      </c>
      <c r="AJ112" s="46" t="e">
        <f t="shared" si="37"/>
        <v>#DIV/0!</v>
      </c>
      <c r="AK112" s="14">
        <f t="shared" si="38"/>
        <v>0</v>
      </c>
      <c r="AL112" s="46" t="e">
        <f t="shared" si="39"/>
        <v>#DIV/0!</v>
      </c>
    </row>
    <row r="113" spans="2:38">
      <c r="B113" s="47"/>
      <c r="C113" s="48"/>
      <c r="D113" s="49"/>
      <c r="E113" s="14"/>
      <c r="F113" s="43"/>
      <c r="G113" s="14"/>
      <c r="H113" s="43"/>
      <c r="I113" s="14"/>
      <c r="J113" s="43"/>
      <c r="K113" s="14"/>
      <c r="L113" s="43"/>
      <c r="M113" s="14"/>
      <c r="N113" s="43"/>
      <c r="O113" s="14"/>
      <c r="P113" s="43"/>
      <c r="Q113" s="14"/>
      <c r="R113" s="43"/>
      <c r="S113" s="14"/>
      <c r="T113" s="43"/>
      <c r="U113" s="14"/>
      <c r="V113" s="43"/>
      <c r="W113" s="14"/>
      <c r="X113" s="43"/>
      <c r="Y113" s="14"/>
      <c r="Z113" s="43"/>
      <c r="AA113" s="14"/>
      <c r="AB113" s="43"/>
      <c r="AC113" s="35">
        <f t="shared" ref="AC113:AC176" si="42">AA113+Y113+W113+U113+S113+Q113+O113+M113+K113+I113+G113+E113</f>
        <v>0</v>
      </c>
      <c r="AD113" s="42">
        <f t="shared" ref="AD113:AD176" si="43">AB113+Z113+X113+V113+T113+R113+P113+N113+L113+J113+H113+F113</f>
        <v>0</v>
      </c>
      <c r="AE113" s="14">
        <f t="shared" si="32"/>
        <v>0</v>
      </c>
      <c r="AF113" s="46">
        <f t="shared" si="33"/>
        <v>0</v>
      </c>
      <c r="AG113" s="14">
        <f t="shared" si="34"/>
        <v>0</v>
      </c>
      <c r="AH113" t="e">
        <f t="shared" si="35"/>
        <v>#DIV/0!</v>
      </c>
      <c r="AI113" s="14">
        <f t="shared" si="36"/>
        <v>0</v>
      </c>
      <c r="AJ113" s="46" t="e">
        <f t="shared" si="37"/>
        <v>#DIV/0!</v>
      </c>
      <c r="AK113" s="14">
        <f t="shared" si="38"/>
        <v>0</v>
      </c>
      <c r="AL113" s="46" t="e">
        <f t="shared" si="39"/>
        <v>#DIV/0!</v>
      </c>
    </row>
    <row r="114" spans="2:38">
      <c r="B114" s="47"/>
      <c r="C114" s="48"/>
      <c r="D114" s="49"/>
      <c r="E114" s="14"/>
      <c r="F114" s="43"/>
      <c r="G114" s="14"/>
      <c r="H114" s="43"/>
      <c r="I114" s="14"/>
      <c r="J114" s="43"/>
      <c r="K114" s="14"/>
      <c r="L114" s="43"/>
      <c r="M114" s="14"/>
      <c r="N114" s="43"/>
      <c r="O114" s="14"/>
      <c r="P114" s="43"/>
      <c r="Q114" s="14"/>
      <c r="R114" s="43"/>
      <c r="S114" s="14"/>
      <c r="T114" s="43"/>
      <c r="U114" s="14"/>
      <c r="V114" s="43"/>
      <c r="W114" s="14"/>
      <c r="X114" s="43"/>
      <c r="Y114" s="14"/>
      <c r="Z114" s="43"/>
      <c r="AA114" s="14"/>
      <c r="AB114" s="43"/>
      <c r="AC114" s="35">
        <f t="shared" si="42"/>
        <v>0</v>
      </c>
      <c r="AD114" s="42">
        <f t="shared" si="43"/>
        <v>0</v>
      </c>
      <c r="AE114" s="14">
        <f t="shared" si="32"/>
        <v>0</v>
      </c>
      <c r="AF114" s="46">
        <f t="shared" si="33"/>
        <v>0</v>
      </c>
      <c r="AG114" s="14">
        <f t="shared" si="34"/>
        <v>0</v>
      </c>
      <c r="AH114" t="e">
        <f t="shared" si="35"/>
        <v>#DIV/0!</v>
      </c>
      <c r="AI114" s="14">
        <f t="shared" si="36"/>
        <v>0</v>
      </c>
      <c r="AJ114" s="46" t="e">
        <f t="shared" si="37"/>
        <v>#DIV/0!</v>
      </c>
      <c r="AK114" s="14">
        <f t="shared" si="38"/>
        <v>0</v>
      </c>
      <c r="AL114" s="46" t="e">
        <f t="shared" si="39"/>
        <v>#DIV/0!</v>
      </c>
    </row>
    <row r="115" spans="2:38">
      <c r="B115" s="47"/>
      <c r="C115" s="48"/>
      <c r="D115" s="49"/>
      <c r="E115" s="14"/>
      <c r="F115" s="43"/>
      <c r="G115" s="14"/>
      <c r="H115" s="43"/>
      <c r="I115" s="14"/>
      <c r="J115" s="43"/>
      <c r="K115" s="14"/>
      <c r="L115" s="43"/>
      <c r="M115" s="14"/>
      <c r="N115" s="43"/>
      <c r="O115" s="14"/>
      <c r="P115" s="43"/>
      <c r="Q115" s="14"/>
      <c r="R115" s="43"/>
      <c r="S115" s="14"/>
      <c r="T115" s="43"/>
      <c r="U115" s="14"/>
      <c r="V115" s="43"/>
      <c r="W115" s="14"/>
      <c r="X115" s="43"/>
      <c r="Y115" s="14"/>
      <c r="Z115" s="43"/>
      <c r="AA115" s="14"/>
      <c r="AB115" s="43"/>
      <c r="AC115" s="35">
        <f t="shared" si="42"/>
        <v>0</v>
      </c>
      <c r="AD115" s="42">
        <f t="shared" si="43"/>
        <v>0</v>
      </c>
      <c r="AE115" s="14">
        <f t="shared" si="32"/>
        <v>0</v>
      </c>
      <c r="AF115" s="46">
        <f t="shared" si="33"/>
        <v>0</v>
      </c>
      <c r="AG115" s="14">
        <f t="shared" si="34"/>
        <v>0</v>
      </c>
      <c r="AH115" t="e">
        <f t="shared" si="35"/>
        <v>#DIV/0!</v>
      </c>
      <c r="AI115" s="14">
        <f t="shared" si="36"/>
        <v>0</v>
      </c>
      <c r="AJ115" s="46" t="e">
        <f t="shared" si="37"/>
        <v>#DIV/0!</v>
      </c>
      <c r="AK115" s="14">
        <f t="shared" si="38"/>
        <v>0</v>
      </c>
      <c r="AL115" s="46" t="e">
        <f t="shared" si="39"/>
        <v>#DIV/0!</v>
      </c>
    </row>
    <row r="116" spans="2:38">
      <c r="B116" s="47"/>
      <c r="C116" s="48"/>
      <c r="D116" s="49"/>
      <c r="E116" s="14"/>
      <c r="F116" s="43"/>
      <c r="G116" s="14"/>
      <c r="H116" s="43"/>
      <c r="I116" s="14"/>
      <c r="J116" s="43"/>
      <c r="K116" s="14"/>
      <c r="L116" s="43"/>
      <c r="M116" s="14"/>
      <c r="N116" s="43"/>
      <c r="O116" s="14"/>
      <c r="P116" s="43"/>
      <c r="Q116" s="14"/>
      <c r="R116" s="43"/>
      <c r="S116" s="14"/>
      <c r="T116" s="43"/>
      <c r="U116" s="14"/>
      <c r="V116" s="43"/>
      <c r="W116" s="14"/>
      <c r="X116" s="43"/>
      <c r="Y116" s="14"/>
      <c r="Z116" s="43"/>
      <c r="AA116" s="14"/>
      <c r="AB116" s="43"/>
      <c r="AC116" s="35">
        <f t="shared" si="42"/>
        <v>0</v>
      </c>
      <c r="AD116" s="42">
        <f t="shared" si="43"/>
        <v>0</v>
      </c>
      <c r="AE116" s="14">
        <f t="shared" si="32"/>
        <v>0</v>
      </c>
      <c r="AF116" s="46">
        <f t="shared" si="33"/>
        <v>0</v>
      </c>
      <c r="AG116" s="14">
        <f t="shared" si="34"/>
        <v>0</v>
      </c>
      <c r="AH116" t="e">
        <f t="shared" si="35"/>
        <v>#DIV/0!</v>
      </c>
      <c r="AI116" s="14">
        <f t="shared" si="36"/>
        <v>0</v>
      </c>
      <c r="AJ116" s="46" t="e">
        <f t="shared" si="37"/>
        <v>#DIV/0!</v>
      </c>
      <c r="AK116" s="14">
        <f t="shared" si="38"/>
        <v>0</v>
      </c>
      <c r="AL116" s="46" t="e">
        <f t="shared" si="39"/>
        <v>#DIV/0!</v>
      </c>
    </row>
    <row r="117" spans="2:38">
      <c r="B117" s="47"/>
      <c r="C117" s="48"/>
      <c r="D117" s="49"/>
      <c r="E117" s="14"/>
      <c r="F117" s="43"/>
      <c r="G117" s="14"/>
      <c r="H117" s="43"/>
      <c r="I117" s="14"/>
      <c r="J117" s="43"/>
      <c r="K117" s="14"/>
      <c r="L117" s="43"/>
      <c r="M117" s="14"/>
      <c r="N117" s="43"/>
      <c r="O117" s="14"/>
      <c r="P117" s="43"/>
      <c r="Q117" s="14"/>
      <c r="R117" s="43"/>
      <c r="S117" s="14"/>
      <c r="T117" s="43"/>
      <c r="U117" s="14"/>
      <c r="V117" s="43"/>
      <c r="W117" s="14"/>
      <c r="X117" s="43"/>
      <c r="Y117" s="14"/>
      <c r="Z117" s="43"/>
      <c r="AA117" s="14"/>
      <c r="AB117" s="43"/>
      <c r="AC117" s="35">
        <f t="shared" si="42"/>
        <v>0</v>
      </c>
      <c r="AD117" s="42">
        <f t="shared" si="43"/>
        <v>0</v>
      </c>
      <c r="AE117" s="14">
        <f t="shared" si="32"/>
        <v>0</v>
      </c>
      <c r="AF117" s="46">
        <f t="shared" si="33"/>
        <v>0</v>
      </c>
      <c r="AG117" s="14">
        <f t="shared" si="34"/>
        <v>0</v>
      </c>
      <c r="AH117" t="e">
        <f t="shared" si="35"/>
        <v>#DIV/0!</v>
      </c>
      <c r="AI117" s="14">
        <f t="shared" si="36"/>
        <v>0</v>
      </c>
      <c r="AJ117" s="46" t="e">
        <f t="shared" si="37"/>
        <v>#DIV/0!</v>
      </c>
      <c r="AK117" s="14">
        <f t="shared" si="38"/>
        <v>0</v>
      </c>
      <c r="AL117" s="46" t="e">
        <f t="shared" si="39"/>
        <v>#DIV/0!</v>
      </c>
    </row>
    <row r="118" spans="2:38">
      <c r="B118" s="47"/>
      <c r="C118" s="48"/>
      <c r="D118" s="49"/>
      <c r="E118" s="14"/>
      <c r="F118" s="43"/>
      <c r="G118" s="14"/>
      <c r="H118" s="43"/>
      <c r="I118" s="14"/>
      <c r="J118" s="43"/>
      <c r="K118" s="14"/>
      <c r="L118" s="43"/>
      <c r="M118" s="14"/>
      <c r="N118" s="43"/>
      <c r="O118" s="14"/>
      <c r="P118" s="43"/>
      <c r="Q118" s="14"/>
      <c r="R118" s="43"/>
      <c r="S118" s="14"/>
      <c r="T118" s="43"/>
      <c r="U118" s="14"/>
      <c r="V118" s="43"/>
      <c r="W118" s="14"/>
      <c r="X118" s="43"/>
      <c r="Y118" s="14"/>
      <c r="Z118" s="43"/>
      <c r="AA118" s="14"/>
      <c r="AB118" s="43"/>
      <c r="AC118" s="35">
        <f t="shared" si="42"/>
        <v>0</v>
      </c>
      <c r="AD118" s="42">
        <f t="shared" si="43"/>
        <v>0</v>
      </c>
      <c r="AE118" s="14">
        <f t="shared" si="32"/>
        <v>0</v>
      </c>
      <c r="AF118" s="46">
        <f t="shared" si="33"/>
        <v>0</v>
      </c>
      <c r="AG118" s="14">
        <f t="shared" si="34"/>
        <v>0</v>
      </c>
      <c r="AH118" t="e">
        <f t="shared" si="35"/>
        <v>#DIV/0!</v>
      </c>
      <c r="AI118" s="14">
        <f t="shared" si="36"/>
        <v>0</v>
      </c>
      <c r="AJ118" s="46" t="e">
        <f t="shared" si="37"/>
        <v>#DIV/0!</v>
      </c>
      <c r="AK118" s="14">
        <f t="shared" si="38"/>
        <v>0</v>
      </c>
      <c r="AL118" s="46" t="e">
        <f t="shared" si="39"/>
        <v>#DIV/0!</v>
      </c>
    </row>
    <row r="119" spans="2:38">
      <c r="B119" s="47"/>
      <c r="C119" s="48"/>
      <c r="D119" s="49"/>
      <c r="E119" s="14"/>
      <c r="F119" s="43"/>
      <c r="G119" s="14"/>
      <c r="H119" s="43"/>
      <c r="I119" s="14"/>
      <c r="J119" s="43"/>
      <c r="K119" s="14"/>
      <c r="L119" s="43"/>
      <c r="M119" s="14"/>
      <c r="N119" s="43"/>
      <c r="O119" s="14"/>
      <c r="P119" s="43"/>
      <c r="Q119" s="14"/>
      <c r="R119" s="43"/>
      <c r="S119" s="14"/>
      <c r="T119" s="43"/>
      <c r="U119" s="14"/>
      <c r="V119" s="43"/>
      <c r="W119" s="14"/>
      <c r="X119" s="43"/>
      <c r="Y119" s="14"/>
      <c r="Z119" s="43"/>
      <c r="AA119" s="14"/>
      <c r="AB119" s="43"/>
      <c r="AC119" s="35">
        <f t="shared" si="42"/>
        <v>0</v>
      </c>
      <c r="AD119" s="42">
        <f t="shared" si="43"/>
        <v>0</v>
      </c>
      <c r="AE119" s="14">
        <f t="shared" si="32"/>
        <v>0</v>
      </c>
      <c r="AF119" s="46">
        <f t="shared" si="33"/>
        <v>0</v>
      </c>
      <c r="AG119" s="14">
        <f t="shared" si="34"/>
        <v>0</v>
      </c>
      <c r="AH119" t="e">
        <f t="shared" si="35"/>
        <v>#DIV/0!</v>
      </c>
      <c r="AI119" s="14">
        <f t="shared" si="36"/>
        <v>0</v>
      </c>
      <c r="AJ119" s="46" t="e">
        <f t="shared" si="37"/>
        <v>#DIV/0!</v>
      </c>
      <c r="AK119" s="14">
        <f t="shared" si="38"/>
        <v>0</v>
      </c>
      <c r="AL119" s="46" t="e">
        <f t="shared" si="39"/>
        <v>#DIV/0!</v>
      </c>
    </row>
    <row r="120" spans="2:38">
      <c r="B120" s="47"/>
      <c r="C120" s="48"/>
      <c r="D120" s="49"/>
      <c r="E120" s="14"/>
      <c r="F120" s="43"/>
      <c r="G120" s="14"/>
      <c r="H120" s="43"/>
      <c r="I120" s="14"/>
      <c r="J120" s="43"/>
      <c r="K120" s="14"/>
      <c r="L120" s="43"/>
      <c r="M120" s="14"/>
      <c r="N120" s="43"/>
      <c r="O120" s="14"/>
      <c r="P120" s="43"/>
      <c r="Q120" s="14"/>
      <c r="R120" s="43"/>
      <c r="S120" s="14"/>
      <c r="T120" s="43"/>
      <c r="U120" s="14"/>
      <c r="V120" s="43"/>
      <c r="W120" s="14"/>
      <c r="X120" s="43"/>
      <c r="Y120" s="14"/>
      <c r="Z120" s="43"/>
      <c r="AA120" s="14"/>
      <c r="AB120" s="43"/>
      <c r="AC120" s="35">
        <f t="shared" si="42"/>
        <v>0</v>
      </c>
      <c r="AD120" s="42">
        <f t="shared" si="43"/>
        <v>0</v>
      </c>
      <c r="AE120" s="14">
        <f t="shared" si="32"/>
        <v>0</v>
      </c>
      <c r="AF120" s="46">
        <f t="shared" si="33"/>
        <v>0</v>
      </c>
      <c r="AG120" s="14">
        <f t="shared" si="34"/>
        <v>0</v>
      </c>
      <c r="AH120" t="e">
        <f t="shared" si="35"/>
        <v>#DIV/0!</v>
      </c>
      <c r="AI120" s="14">
        <f t="shared" si="36"/>
        <v>0</v>
      </c>
      <c r="AJ120" s="46" t="e">
        <f t="shared" si="37"/>
        <v>#DIV/0!</v>
      </c>
      <c r="AK120" s="14">
        <f t="shared" si="38"/>
        <v>0</v>
      </c>
      <c r="AL120" s="46" t="e">
        <f t="shared" si="39"/>
        <v>#DIV/0!</v>
      </c>
    </row>
    <row r="121" spans="2:38">
      <c r="B121" s="47"/>
      <c r="C121" s="48"/>
      <c r="D121" s="49"/>
      <c r="E121" s="14"/>
      <c r="F121" s="43"/>
      <c r="G121" s="14"/>
      <c r="H121" s="43"/>
      <c r="I121" s="14"/>
      <c r="J121" s="43"/>
      <c r="K121" s="14"/>
      <c r="L121" s="43"/>
      <c r="M121" s="14"/>
      <c r="N121" s="43"/>
      <c r="O121" s="14"/>
      <c r="P121" s="43"/>
      <c r="Q121" s="14"/>
      <c r="R121" s="43"/>
      <c r="S121" s="14"/>
      <c r="T121" s="43"/>
      <c r="U121" s="14"/>
      <c r="V121" s="43"/>
      <c r="W121" s="14"/>
      <c r="X121" s="43"/>
      <c r="Y121" s="14"/>
      <c r="Z121" s="43"/>
      <c r="AA121" s="14"/>
      <c r="AB121" s="43"/>
      <c r="AC121" s="35">
        <f t="shared" si="42"/>
        <v>0</v>
      </c>
      <c r="AD121" s="42">
        <f t="shared" si="43"/>
        <v>0</v>
      </c>
      <c r="AE121" s="14">
        <f t="shared" si="32"/>
        <v>0</v>
      </c>
      <c r="AF121" s="46">
        <f t="shared" si="33"/>
        <v>0</v>
      </c>
      <c r="AG121" s="14">
        <f t="shared" si="34"/>
        <v>0</v>
      </c>
      <c r="AH121" t="e">
        <f t="shared" si="35"/>
        <v>#DIV/0!</v>
      </c>
      <c r="AI121" s="14">
        <f t="shared" si="36"/>
        <v>0</v>
      </c>
      <c r="AJ121" s="46" t="e">
        <f t="shared" si="37"/>
        <v>#DIV/0!</v>
      </c>
      <c r="AK121" s="14">
        <f t="shared" si="38"/>
        <v>0</v>
      </c>
      <c r="AL121" s="46" t="e">
        <f t="shared" si="39"/>
        <v>#DIV/0!</v>
      </c>
    </row>
    <row r="122" spans="2:38">
      <c r="B122" s="47"/>
      <c r="C122" s="48"/>
      <c r="D122" s="49"/>
      <c r="E122" s="14"/>
      <c r="F122" s="43"/>
      <c r="G122" s="14"/>
      <c r="H122" s="43"/>
      <c r="I122" s="14"/>
      <c r="J122" s="43"/>
      <c r="K122" s="14"/>
      <c r="L122" s="43"/>
      <c r="M122" s="14"/>
      <c r="N122" s="43"/>
      <c r="O122" s="14"/>
      <c r="P122" s="43"/>
      <c r="Q122" s="14"/>
      <c r="R122" s="43"/>
      <c r="S122" s="14"/>
      <c r="T122" s="43"/>
      <c r="U122" s="14"/>
      <c r="V122" s="43"/>
      <c r="W122" s="14"/>
      <c r="X122" s="43"/>
      <c r="Y122" s="14"/>
      <c r="Z122" s="43"/>
      <c r="AA122" s="14"/>
      <c r="AB122" s="43"/>
      <c r="AC122" s="35">
        <f t="shared" si="42"/>
        <v>0</v>
      </c>
      <c r="AD122" s="42">
        <f t="shared" si="43"/>
        <v>0</v>
      </c>
      <c r="AE122" s="14">
        <f t="shared" si="32"/>
        <v>0</v>
      </c>
      <c r="AF122" s="46">
        <f t="shared" si="33"/>
        <v>0</v>
      </c>
      <c r="AG122" s="14">
        <f t="shared" si="34"/>
        <v>0</v>
      </c>
      <c r="AH122" t="e">
        <f t="shared" si="35"/>
        <v>#DIV/0!</v>
      </c>
      <c r="AI122" s="14">
        <f t="shared" si="36"/>
        <v>0</v>
      </c>
      <c r="AJ122" s="46" t="e">
        <f t="shared" si="37"/>
        <v>#DIV/0!</v>
      </c>
      <c r="AK122" s="14">
        <f t="shared" si="38"/>
        <v>0</v>
      </c>
      <c r="AL122" s="46" t="e">
        <f t="shared" si="39"/>
        <v>#DIV/0!</v>
      </c>
    </row>
    <row r="123" spans="2:38">
      <c r="B123" s="47"/>
      <c r="C123" s="48"/>
      <c r="D123" s="49"/>
      <c r="E123" s="14"/>
      <c r="F123" s="43"/>
      <c r="G123" s="14"/>
      <c r="H123" s="43"/>
      <c r="I123" s="14"/>
      <c r="J123" s="43"/>
      <c r="K123" s="14"/>
      <c r="L123" s="43"/>
      <c r="M123" s="14"/>
      <c r="N123" s="43"/>
      <c r="O123" s="14"/>
      <c r="P123" s="43"/>
      <c r="Q123" s="14"/>
      <c r="R123" s="43"/>
      <c r="S123" s="14"/>
      <c r="T123" s="43"/>
      <c r="U123" s="14"/>
      <c r="V123" s="43"/>
      <c r="W123" s="14"/>
      <c r="X123" s="43"/>
      <c r="Y123" s="14"/>
      <c r="Z123" s="43"/>
      <c r="AA123" s="14"/>
      <c r="AB123" s="43"/>
      <c r="AC123" s="35">
        <f t="shared" si="42"/>
        <v>0</v>
      </c>
      <c r="AD123" s="42">
        <f t="shared" si="43"/>
        <v>0</v>
      </c>
      <c r="AE123" s="14">
        <f t="shared" si="32"/>
        <v>0</v>
      </c>
      <c r="AF123" s="46">
        <f t="shared" si="33"/>
        <v>0</v>
      </c>
      <c r="AG123" s="14">
        <f t="shared" si="34"/>
        <v>0</v>
      </c>
      <c r="AH123" t="e">
        <f t="shared" si="35"/>
        <v>#DIV/0!</v>
      </c>
      <c r="AI123" s="14">
        <f t="shared" si="36"/>
        <v>0</v>
      </c>
      <c r="AJ123" s="46" t="e">
        <f t="shared" si="37"/>
        <v>#DIV/0!</v>
      </c>
      <c r="AK123" s="14">
        <f t="shared" si="38"/>
        <v>0</v>
      </c>
      <c r="AL123" s="46" t="e">
        <f t="shared" si="39"/>
        <v>#DIV/0!</v>
      </c>
    </row>
    <row r="124" spans="2:38">
      <c r="B124" s="47"/>
      <c r="C124" s="48"/>
      <c r="D124" s="49"/>
      <c r="E124" s="14"/>
      <c r="F124" s="43"/>
      <c r="G124" s="14"/>
      <c r="H124" s="43"/>
      <c r="I124" s="14"/>
      <c r="J124" s="43"/>
      <c r="K124" s="14"/>
      <c r="L124" s="43"/>
      <c r="M124" s="14"/>
      <c r="N124" s="43"/>
      <c r="O124" s="14"/>
      <c r="P124" s="43"/>
      <c r="Q124" s="14"/>
      <c r="R124" s="43"/>
      <c r="S124" s="14"/>
      <c r="T124" s="43"/>
      <c r="U124" s="14"/>
      <c r="V124" s="43"/>
      <c r="W124" s="14"/>
      <c r="X124" s="43"/>
      <c r="Y124" s="14"/>
      <c r="Z124" s="43"/>
      <c r="AA124" s="14"/>
      <c r="AB124" s="43"/>
      <c r="AC124" s="35">
        <f t="shared" si="42"/>
        <v>0</v>
      </c>
      <c r="AD124" s="42">
        <f t="shared" si="43"/>
        <v>0</v>
      </c>
      <c r="AE124" s="14">
        <f t="shared" si="32"/>
        <v>0</v>
      </c>
      <c r="AF124" s="46">
        <f t="shared" si="33"/>
        <v>0</v>
      </c>
      <c r="AG124" s="14">
        <f t="shared" si="34"/>
        <v>0</v>
      </c>
      <c r="AH124" t="e">
        <f t="shared" si="35"/>
        <v>#DIV/0!</v>
      </c>
      <c r="AI124" s="14">
        <f t="shared" si="36"/>
        <v>0</v>
      </c>
      <c r="AJ124" s="46" t="e">
        <f t="shared" si="37"/>
        <v>#DIV/0!</v>
      </c>
      <c r="AK124" s="14">
        <f t="shared" si="38"/>
        <v>0</v>
      </c>
      <c r="AL124" s="46" t="e">
        <f t="shared" si="39"/>
        <v>#DIV/0!</v>
      </c>
    </row>
    <row r="125" spans="2:38">
      <c r="B125" s="47"/>
      <c r="C125" s="48"/>
      <c r="D125" s="49"/>
      <c r="E125" s="14"/>
      <c r="F125" s="43"/>
      <c r="G125" s="14"/>
      <c r="H125" s="43"/>
      <c r="I125" s="14"/>
      <c r="J125" s="43"/>
      <c r="K125" s="14"/>
      <c r="L125" s="43"/>
      <c r="M125" s="14"/>
      <c r="N125" s="43"/>
      <c r="O125" s="14"/>
      <c r="P125" s="43"/>
      <c r="Q125" s="14"/>
      <c r="R125" s="43"/>
      <c r="S125" s="14"/>
      <c r="T125" s="43"/>
      <c r="U125" s="14"/>
      <c r="V125" s="43"/>
      <c r="W125" s="14"/>
      <c r="X125" s="43"/>
      <c r="Y125" s="14"/>
      <c r="Z125" s="43"/>
      <c r="AA125" s="14"/>
      <c r="AB125" s="43"/>
      <c r="AC125" s="35">
        <f t="shared" si="42"/>
        <v>0</v>
      </c>
      <c r="AD125" s="42">
        <f t="shared" si="43"/>
        <v>0</v>
      </c>
      <c r="AE125" s="14">
        <f t="shared" si="32"/>
        <v>0</v>
      </c>
      <c r="AF125" s="46">
        <f t="shared" si="33"/>
        <v>0</v>
      </c>
      <c r="AG125" s="14">
        <f t="shared" si="34"/>
        <v>0</v>
      </c>
      <c r="AH125" t="e">
        <f t="shared" si="35"/>
        <v>#DIV/0!</v>
      </c>
      <c r="AI125" s="14">
        <f t="shared" si="36"/>
        <v>0</v>
      </c>
      <c r="AJ125" s="46" t="e">
        <f t="shared" si="37"/>
        <v>#DIV/0!</v>
      </c>
      <c r="AK125" s="14">
        <f t="shared" si="38"/>
        <v>0</v>
      </c>
      <c r="AL125" s="46" t="e">
        <f t="shared" si="39"/>
        <v>#DIV/0!</v>
      </c>
    </row>
    <row r="126" spans="2:38">
      <c r="B126" s="47"/>
      <c r="C126" s="48"/>
      <c r="D126" s="49"/>
      <c r="E126" s="14"/>
      <c r="F126" s="43"/>
      <c r="G126" s="14"/>
      <c r="H126" s="43"/>
      <c r="I126" s="14"/>
      <c r="J126" s="43"/>
      <c r="K126" s="14"/>
      <c r="L126" s="43"/>
      <c r="M126" s="14"/>
      <c r="N126" s="43"/>
      <c r="O126" s="14"/>
      <c r="P126" s="43"/>
      <c r="Q126" s="14"/>
      <c r="R126" s="43"/>
      <c r="S126" s="14"/>
      <c r="T126" s="43"/>
      <c r="U126" s="14"/>
      <c r="V126" s="43"/>
      <c r="W126" s="14"/>
      <c r="X126" s="43"/>
      <c r="Y126" s="14"/>
      <c r="Z126" s="43"/>
      <c r="AA126" s="14"/>
      <c r="AB126" s="43"/>
      <c r="AC126" s="35">
        <f t="shared" si="42"/>
        <v>0</v>
      </c>
      <c r="AD126" s="42">
        <f t="shared" si="43"/>
        <v>0</v>
      </c>
      <c r="AE126" s="14">
        <f t="shared" si="32"/>
        <v>0</v>
      </c>
      <c r="AF126" s="46">
        <f t="shared" si="33"/>
        <v>0</v>
      </c>
      <c r="AG126" s="14">
        <f t="shared" si="34"/>
        <v>0</v>
      </c>
      <c r="AH126" t="e">
        <f t="shared" si="35"/>
        <v>#DIV/0!</v>
      </c>
      <c r="AI126" s="14">
        <f t="shared" si="36"/>
        <v>0</v>
      </c>
      <c r="AJ126" s="46" t="e">
        <f t="shared" si="37"/>
        <v>#DIV/0!</v>
      </c>
      <c r="AK126" s="14">
        <f t="shared" si="38"/>
        <v>0</v>
      </c>
      <c r="AL126" s="46" t="e">
        <f t="shared" si="39"/>
        <v>#DIV/0!</v>
      </c>
    </row>
    <row r="127" spans="2:38">
      <c r="B127" s="47"/>
      <c r="C127" s="48"/>
      <c r="D127" s="49"/>
      <c r="E127" s="14"/>
      <c r="F127" s="43"/>
      <c r="G127" s="14"/>
      <c r="H127" s="43"/>
      <c r="I127" s="14"/>
      <c r="J127" s="43"/>
      <c r="K127" s="14"/>
      <c r="L127" s="43"/>
      <c r="M127" s="14"/>
      <c r="N127" s="43"/>
      <c r="O127" s="14"/>
      <c r="P127" s="43"/>
      <c r="Q127" s="14"/>
      <c r="R127" s="43"/>
      <c r="S127" s="14"/>
      <c r="T127" s="43"/>
      <c r="U127" s="14"/>
      <c r="V127" s="43"/>
      <c r="W127" s="14"/>
      <c r="X127" s="43"/>
      <c r="Y127" s="14"/>
      <c r="Z127" s="43"/>
      <c r="AA127" s="14"/>
      <c r="AB127" s="43"/>
      <c r="AC127" s="35">
        <f t="shared" si="42"/>
        <v>0</v>
      </c>
      <c r="AD127" s="42">
        <f t="shared" si="43"/>
        <v>0</v>
      </c>
      <c r="AE127" s="14">
        <f t="shared" si="32"/>
        <v>0</v>
      </c>
      <c r="AF127" s="46">
        <f t="shared" si="33"/>
        <v>0</v>
      </c>
      <c r="AG127" s="14">
        <f t="shared" si="34"/>
        <v>0</v>
      </c>
      <c r="AH127" t="e">
        <f t="shared" si="35"/>
        <v>#DIV/0!</v>
      </c>
      <c r="AI127" s="14">
        <f t="shared" si="36"/>
        <v>0</v>
      </c>
      <c r="AJ127" s="46" t="e">
        <f t="shared" si="37"/>
        <v>#DIV/0!</v>
      </c>
      <c r="AK127" s="14">
        <f t="shared" si="38"/>
        <v>0</v>
      </c>
      <c r="AL127" s="46" t="e">
        <f t="shared" si="39"/>
        <v>#DIV/0!</v>
      </c>
    </row>
    <row r="128" spans="2:38">
      <c r="B128" s="47"/>
      <c r="C128" s="48"/>
      <c r="D128" s="49"/>
      <c r="E128" s="14"/>
      <c r="F128" s="43"/>
      <c r="G128" s="14"/>
      <c r="H128" s="43"/>
      <c r="I128" s="14"/>
      <c r="J128" s="43"/>
      <c r="K128" s="14"/>
      <c r="L128" s="43"/>
      <c r="M128" s="14"/>
      <c r="N128" s="43"/>
      <c r="O128" s="14"/>
      <c r="P128" s="43"/>
      <c r="Q128" s="14"/>
      <c r="R128" s="43"/>
      <c r="S128" s="14"/>
      <c r="T128" s="43"/>
      <c r="U128" s="14"/>
      <c r="V128" s="43"/>
      <c r="W128" s="14"/>
      <c r="X128" s="43"/>
      <c r="Y128" s="14"/>
      <c r="Z128" s="43"/>
      <c r="AA128" s="14"/>
      <c r="AB128" s="43"/>
      <c r="AC128" s="35">
        <f t="shared" si="42"/>
        <v>0</v>
      </c>
      <c r="AD128" s="42">
        <f t="shared" si="43"/>
        <v>0</v>
      </c>
      <c r="AE128" s="14">
        <f t="shared" si="32"/>
        <v>0</v>
      </c>
      <c r="AF128" s="46">
        <f t="shared" si="33"/>
        <v>0</v>
      </c>
      <c r="AG128" s="14">
        <f t="shared" si="34"/>
        <v>0</v>
      </c>
      <c r="AH128" t="e">
        <f t="shared" si="35"/>
        <v>#DIV/0!</v>
      </c>
      <c r="AI128" s="14">
        <f t="shared" si="36"/>
        <v>0</v>
      </c>
      <c r="AJ128" s="46" t="e">
        <f t="shared" si="37"/>
        <v>#DIV/0!</v>
      </c>
      <c r="AK128" s="14">
        <f t="shared" si="38"/>
        <v>0</v>
      </c>
      <c r="AL128" s="46" t="e">
        <f t="shared" si="39"/>
        <v>#DIV/0!</v>
      </c>
    </row>
    <row r="129" spans="2:38">
      <c r="B129" s="47"/>
      <c r="C129" s="48"/>
      <c r="D129" s="49"/>
      <c r="E129" s="14"/>
      <c r="F129" s="43"/>
      <c r="G129" s="14"/>
      <c r="H129" s="43"/>
      <c r="I129" s="14"/>
      <c r="J129" s="43"/>
      <c r="K129" s="14"/>
      <c r="L129" s="43"/>
      <c r="M129" s="14"/>
      <c r="N129" s="43"/>
      <c r="O129" s="14"/>
      <c r="P129" s="43"/>
      <c r="Q129" s="14"/>
      <c r="R129" s="43"/>
      <c r="S129" s="14"/>
      <c r="T129" s="43"/>
      <c r="U129" s="14"/>
      <c r="V129" s="43"/>
      <c r="W129" s="14"/>
      <c r="X129" s="43"/>
      <c r="Y129" s="14"/>
      <c r="Z129" s="43"/>
      <c r="AA129" s="14"/>
      <c r="AB129" s="43"/>
      <c r="AC129" s="35">
        <f t="shared" si="42"/>
        <v>0</v>
      </c>
      <c r="AD129" s="42">
        <f t="shared" si="43"/>
        <v>0</v>
      </c>
      <c r="AE129" s="14">
        <f t="shared" si="32"/>
        <v>0</v>
      </c>
      <c r="AF129" s="46">
        <f t="shared" si="33"/>
        <v>0</v>
      </c>
      <c r="AG129" s="14">
        <f t="shared" si="34"/>
        <v>0</v>
      </c>
      <c r="AH129" t="e">
        <f t="shared" si="35"/>
        <v>#DIV/0!</v>
      </c>
      <c r="AI129" s="14">
        <f t="shared" si="36"/>
        <v>0</v>
      </c>
      <c r="AJ129" s="46" t="e">
        <f t="shared" si="37"/>
        <v>#DIV/0!</v>
      </c>
      <c r="AK129" s="14">
        <f t="shared" si="38"/>
        <v>0</v>
      </c>
      <c r="AL129" s="46" t="e">
        <f t="shared" si="39"/>
        <v>#DIV/0!</v>
      </c>
    </row>
    <row r="130" spans="2:38">
      <c r="B130" s="47"/>
      <c r="C130" s="48"/>
      <c r="D130" s="49"/>
      <c r="E130" s="14"/>
      <c r="F130" s="43"/>
      <c r="G130" s="14"/>
      <c r="H130" s="43"/>
      <c r="I130" s="14"/>
      <c r="J130" s="43"/>
      <c r="K130" s="14"/>
      <c r="L130" s="43"/>
      <c r="M130" s="14"/>
      <c r="N130" s="43"/>
      <c r="O130" s="14"/>
      <c r="P130" s="43"/>
      <c r="Q130" s="14"/>
      <c r="R130" s="43"/>
      <c r="S130" s="14"/>
      <c r="T130" s="43"/>
      <c r="U130" s="14"/>
      <c r="V130" s="43"/>
      <c r="W130" s="14"/>
      <c r="X130" s="43"/>
      <c r="Y130" s="14"/>
      <c r="Z130" s="43"/>
      <c r="AA130" s="14"/>
      <c r="AB130" s="43"/>
      <c r="AC130" s="35">
        <f t="shared" si="42"/>
        <v>0</v>
      </c>
      <c r="AD130" s="42">
        <f t="shared" si="43"/>
        <v>0</v>
      </c>
      <c r="AE130" s="14">
        <f t="shared" si="32"/>
        <v>0</v>
      </c>
      <c r="AF130" s="46">
        <f t="shared" si="33"/>
        <v>0</v>
      </c>
      <c r="AG130" s="14">
        <f t="shared" si="34"/>
        <v>0</v>
      </c>
      <c r="AH130" t="e">
        <f t="shared" si="35"/>
        <v>#DIV/0!</v>
      </c>
      <c r="AI130" s="14">
        <f t="shared" si="36"/>
        <v>0</v>
      </c>
      <c r="AJ130" s="46" t="e">
        <f t="shared" si="37"/>
        <v>#DIV/0!</v>
      </c>
      <c r="AK130" s="14">
        <f t="shared" si="38"/>
        <v>0</v>
      </c>
      <c r="AL130" s="46" t="e">
        <f t="shared" si="39"/>
        <v>#DIV/0!</v>
      </c>
    </row>
    <row r="131" spans="2:38">
      <c r="B131" s="47"/>
      <c r="C131" s="48"/>
      <c r="D131" s="49"/>
      <c r="E131" s="14"/>
      <c r="F131" s="43"/>
      <c r="G131" s="14"/>
      <c r="H131" s="43"/>
      <c r="I131" s="14"/>
      <c r="J131" s="43"/>
      <c r="K131" s="14"/>
      <c r="L131" s="43"/>
      <c r="M131" s="14"/>
      <c r="N131" s="43"/>
      <c r="O131" s="14"/>
      <c r="P131" s="43"/>
      <c r="Q131" s="14"/>
      <c r="R131" s="43"/>
      <c r="S131" s="14"/>
      <c r="T131" s="43"/>
      <c r="U131" s="14"/>
      <c r="V131" s="43"/>
      <c r="W131" s="14"/>
      <c r="X131" s="43"/>
      <c r="Y131" s="14"/>
      <c r="Z131" s="43"/>
      <c r="AA131" s="14"/>
      <c r="AB131" s="43"/>
      <c r="AC131" s="35">
        <f t="shared" si="42"/>
        <v>0</v>
      </c>
      <c r="AD131" s="42">
        <f t="shared" si="43"/>
        <v>0</v>
      </c>
      <c r="AE131" s="14">
        <f t="shared" si="32"/>
        <v>0</v>
      </c>
      <c r="AF131" s="46">
        <f t="shared" si="33"/>
        <v>0</v>
      </c>
      <c r="AG131" s="14">
        <f t="shared" si="34"/>
        <v>0</v>
      </c>
      <c r="AH131" t="e">
        <f t="shared" si="35"/>
        <v>#DIV/0!</v>
      </c>
      <c r="AI131" s="14">
        <f t="shared" si="36"/>
        <v>0</v>
      </c>
      <c r="AJ131" s="46" t="e">
        <f t="shared" si="37"/>
        <v>#DIV/0!</v>
      </c>
      <c r="AK131" s="14">
        <f t="shared" si="38"/>
        <v>0</v>
      </c>
      <c r="AL131" s="46" t="e">
        <f t="shared" si="39"/>
        <v>#DIV/0!</v>
      </c>
    </row>
    <row r="132" spans="2:38">
      <c r="B132" s="47"/>
      <c r="C132" s="48"/>
      <c r="D132" s="49"/>
      <c r="E132" s="14"/>
      <c r="F132" s="43"/>
      <c r="G132" s="14"/>
      <c r="H132" s="43"/>
      <c r="I132" s="14"/>
      <c r="J132" s="43"/>
      <c r="K132" s="14"/>
      <c r="L132" s="43"/>
      <c r="M132" s="14"/>
      <c r="N132" s="43"/>
      <c r="O132" s="14"/>
      <c r="P132" s="43"/>
      <c r="Q132" s="14"/>
      <c r="R132" s="43"/>
      <c r="S132" s="14"/>
      <c r="T132" s="43"/>
      <c r="U132" s="14"/>
      <c r="V132" s="43"/>
      <c r="W132" s="14"/>
      <c r="X132" s="43"/>
      <c r="Y132" s="14"/>
      <c r="Z132" s="43"/>
      <c r="AA132" s="14"/>
      <c r="AB132" s="43"/>
      <c r="AC132" s="35">
        <f t="shared" si="42"/>
        <v>0</v>
      </c>
      <c r="AD132" s="42">
        <f t="shared" si="43"/>
        <v>0</v>
      </c>
      <c r="AE132" s="14">
        <f t="shared" ref="AE132:AE134" si="44">E132+G132+I132</f>
        <v>0</v>
      </c>
      <c r="AF132" s="46">
        <f t="shared" ref="AF132:AF134" si="45">(F132+H132+J132)/$AF$4</f>
        <v>0</v>
      </c>
      <c r="AG132" s="14">
        <f t="shared" ref="AG132:AG134" si="46">K132+M132+O132</f>
        <v>0</v>
      </c>
      <c r="AH132" t="e">
        <f t="shared" ref="AH132:AH134" si="47">(L132+N132+P132)/$AH$4</f>
        <v>#DIV/0!</v>
      </c>
      <c r="AI132" s="14">
        <f t="shared" ref="AI132:AI134" si="48">U132+S132+Q132</f>
        <v>0</v>
      </c>
      <c r="AJ132" s="46" t="e">
        <f t="shared" ref="AJ132:AJ134" si="49">(V132+T132+R132)/$AJ$4</f>
        <v>#DIV/0!</v>
      </c>
      <c r="AK132" s="14">
        <f t="shared" ref="AK132:AK134" si="50">W132+Y132+AA132</f>
        <v>0</v>
      </c>
      <c r="AL132" s="46" t="e">
        <f t="shared" ref="AL132:AL134" si="51">(X132+Z132+AB132)/$AL$4</f>
        <v>#DIV/0!</v>
      </c>
    </row>
    <row r="133" spans="2:38">
      <c r="B133" s="47"/>
      <c r="C133" s="48"/>
      <c r="D133" s="49"/>
      <c r="E133" s="14"/>
      <c r="F133" s="43"/>
      <c r="G133" s="14"/>
      <c r="H133" s="43"/>
      <c r="I133" s="14"/>
      <c r="J133" s="43"/>
      <c r="K133" s="14"/>
      <c r="L133" s="43"/>
      <c r="M133" s="14"/>
      <c r="N133" s="43"/>
      <c r="O133" s="14"/>
      <c r="P133" s="43"/>
      <c r="Q133" s="14"/>
      <c r="R133" s="43"/>
      <c r="S133" s="14"/>
      <c r="T133" s="43"/>
      <c r="U133" s="14"/>
      <c r="V133" s="43"/>
      <c r="W133" s="14"/>
      <c r="X133" s="43"/>
      <c r="Y133" s="14"/>
      <c r="Z133" s="43"/>
      <c r="AA133" s="14"/>
      <c r="AB133" s="43"/>
      <c r="AC133" s="35">
        <f t="shared" si="42"/>
        <v>0</v>
      </c>
      <c r="AD133" s="42">
        <f t="shared" si="43"/>
        <v>0</v>
      </c>
      <c r="AE133" s="14">
        <f t="shared" si="44"/>
        <v>0</v>
      </c>
      <c r="AF133" s="46">
        <f t="shared" si="45"/>
        <v>0</v>
      </c>
      <c r="AG133" s="14">
        <f t="shared" si="46"/>
        <v>0</v>
      </c>
      <c r="AH133" t="e">
        <f t="shared" si="47"/>
        <v>#DIV/0!</v>
      </c>
      <c r="AI133" s="14">
        <f t="shared" si="48"/>
        <v>0</v>
      </c>
      <c r="AJ133" s="46" t="e">
        <f t="shared" si="49"/>
        <v>#DIV/0!</v>
      </c>
      <c r="AK133" s="14">
        <f t="shared" si="50"/>
        <v>0</v>
      </c>
      <c r="AL133" s="46" t="e">
        <f t="shared" si="51"/>
        <v>#DIV/0!</v>
      </c>
    </row>
    <row r="134" spans="2:38">
      <c r="B134" s="47"/>
      <c r="C134" s="48"/>
      <c r="D134" s="49"/>
      <c r="E134" s="14"/>
      <c r="F134" s="43"/>
      <c r="G134" s="14"/>
      <c r="H134" s="43"/>
      <c r="I134" s="14"/>
      <c r="J134" s="43"/>
      <c r="K134" s="14"/>
      <c r="L134" s="43"/>
      <c r="M134" s="14"/>
      <c r="N134" s="43"/>
      <c r="O134" s="14"/>
      <c r="P134" s="43"/>
      <c r="Q134" s="14"/>
      <c r="R134" s="43"/>
      <c r="S134" s="14"/>
      <c r="T134" s="43"/>
      <c r="U134" s="14"/>
      <c r="V134" s="43"/>
      <c r="W134" s="14"/>
      <c r="X134" s="43"/>
      <c r="Y134" s="14"/>
      <c r="Z134" s="43"/>
      <c r="AA134" s="14"/>
      <c r="AB134" s="43"/>
      <c r="AC134" s="35">
        <f t="shared" si="42"/>
        <v>0</v>
      </c>
      <c r="AD134" s="42">
        <f t="shared" si="43"/>
        <v>0</v>
      </c>
      <c r="AE134" s="14">
        <f t="shared" si="44"/>
        <v>0</v>
      </c>
      <c r="AF134" s="46">
        <f t="shared" si="45"/>
        <v>0</v>
      </c>
      <c r="AG134" s="14">
        <f t="shared" si="46"/>
        <v>0</v>
      </c>
      <c r="AH134" t="e">
        <f t="shared" si="47"/>
        <v>#DIV/0!</v>
      </c>
      <c r="AI134" s="14">
        <f t="shared" si="48"/>
        <v>0</v>
      </c>
      <c r="AJ134" s="46" t="e">
        <f t="shared" si="49"/>
        <v>#DIV/0!</v>
      </c>
      <c r="AK134" s="14">
        <f t="shared" si="50"/>
        <v>0</v>
      </c>
      <c r="AL134" s="46" t="e">
        <f t="shared" si="51"/>
        <v>#DIV/0!</v>
      </c>
    </row>
    <row r="135" spans="2:38">
      <c r="B135" s="47"/>
      <c r="C135" s="48"/>
      <c r="D135" s="49"/>
      <c r="E135" s="14"/>
      <c r="F135" s="43"/>
      <c r="G135" s="14"/>
      <c r="H135" s="43"/>
      <c r="I135" s="14"/>
      <c r="J135" s="43"/>
      <c r="K135" s="14"/>
      <c r="L135" s="43"/>
      <c r="M135" s="14"/>
      <c r="N135" s="43"/>
      <c r="O135" s="14"/>
      <c r="P135" s="43"/>
      <c r="Q135" s="14"/>
      <c r="R135" s="43"/>
      <c r="S135" s="14"/>
      <c r="T135" s="43"/>
      <c r="U135" s="14"/>
      <c r="V135" s="43"/>
      <c r="W135" s="14"/>
      <c r="X135" s="43"/>
      <c r="Y135" s="14"/>
      <c r="Z135" s="43"/>
      <c r="AA135" s="14"/>
      <c r="AB135" s="43"/>
      <c r="AC135" s="35">
        <f t="shared" si="42"/>
        <v>0</v>
      </c>
      <c r="AD135" s="42">
        <f t="shared" si="43"/>
        <v>0</v>
      </c>
      <c r="AE135" s="14">
        <f t="shared" ref="AE135:AE136" si="52">E135+G135+I135</f>
        <v>0</v>
      </c>
      <c r="AF135" s="46">
        <f t="shared" ref="AF135:AF136" si="53">(F135+H135+J135)/$AF$4</f>
        <v>0</v>
      </c>
      <c r="AG135" s="14">
        <f t="shared" ref="AG135:AG136" si="54">K135+M135+O135</f>
        <v>0</v>
      </c>
      <c r="AH135" t="e">
        <f t="shared" ref="AH135:AH136" si="55">(L135+N135+P135)/$AH$4</f>
        <v>#DIV/0!</v>
      </c>
      <c r="AI135" s="14">
        <f t="shared" ref="AI135:AI136" si="56">U135+S135+Q135</f>
        <v>0</v>
      </c>
      <c r="AJ135" s="46" t="e">
        <f t="shared" ref="AJ135:AJ136" si="57">(V135+T135+R135)/$AJ$4</f>
        <v>#DIV/0!</v>
      </c>
      <c r="AK135" s="14">
        <f t="shared" ref="AK135:AK136" si="58">W135+Y135+AA135</f>
        <v>0</v>
      </c>
      <c r="AL135" s="46" t="e">
        <f t="shared" ref="AL135:AL136" si="59">(X135+Z135+AB135)/$AL$4</f>
        <v>#DIV/0!</v>
      </c>
    </row>
    <row r="136" spans="2:38">
      <c r="B136" s="47"/>
      <c r="C136" s="48"/>
      <c r="D136" s="49"/>
      <c r="E136" s="14"/>
      <c r="F136" s="43"/>
      <c r="G136" s="14"/>
      <c r="H136" s="43"/>
      <c r="I136" s="14"/>
      <c r="J136" s="43"/>
      <c r="K136" s="14"/>
      <c r="L136" s="43"/>
      <c r="M136" s="14"/>
      <c r="N136" s="43"/>
      <c r="O136" s="14"/>
      <c r="P136" s="43"/>
      <c r="Q136" s="14"/>
      <c r="R136" s="43"/>
      <c r="S136" s="14"/>
      <c r="T136" s="43"/>
      <c r="U136" s="14"/>
      <c r="V136" s="43"/>
      <c r="W136" s="14"/>
      <c r="X136" s="43"/>
      <c r="Y136" s="14"/>
      <c r="Z136" s="43"/>
      <c r="AA136" s="14"/>
      <c r="AB136" s="43"/>
      <c r="AC136" s="35">
        <f t="shared" si="42"/>
        <v>0</v>
      </c>
      <c r="AD136" s="42">
        <f t="shared" si="43"/>
        <v>0</v>
      </c>
      <c r="AE136" s="14">
        <f t="shared" si="52"/>
        <v>0</v>
      </c>
      <c r="AF136" s="46">
        <f t="shared" si="53"/>
        <v>0</v>
      </c>
      <c r="AG136" s="14">
        <f t="shared" si="54"/>
        <v>0</v>
      </c>
      <c r="AH136" t="e">
        <f t="shared" si="55"/>
        <v>#DIV/0!</v>
      </c>
      <c r="AI136" s="14">
        <f t="shared" si="56"/>
        <v>0</v>
      </c>
      <c r="AJ136" s="46" t="e">
        <f t="shared" si="57"/>
        <v>#DIV/0!</v>
      </c>
      <c r="AK136" s="14">
        <f t="shared" si="58"/>
        <v>0</v>
      </c>
      <c r="AL136" s="46" t="e">
        <f t="shared" si="59"/>
        <v>#DIV/0!</v>
      </c>
    </row>
    <row r="137" spans="2:38">
      <c r="B137" s="47"/>
      <c r="C137" s="48"/>
      <c r="D137" s="49"/>
      <c r="E137" s="14"/>
      <c r="F137" s="43"/>
      <c r="G137" s="14"/>
      <c r="H137" s="43"/>
      <c r="I137" s="14"/>
      <c r="J137" s="43"/>
      <c r="K137" s="14"/>
      <c r="L137" s="43"/>
      <c r="M137" s="14"/>
      <c r="N137" s="43"/>
      <c r="O137" s="14"/>
      <c r="P137" s="43"/>
      <c r="Q137" s="14"/>
      <c r="R137" s="43"/>
      <c r="S137" s="14"/>
      <c r="T137" s="43"/>
      <c r="U137" s="14"/>
      <c r="V137" s="43"/>
      <c r="W137" s="14"/>
      <c r="X137" s="43"/>
      <c r="Y137" s="14"/>
      <c r="Z137" s="43"/>
      <c r="AA137" s="14"/>
      <c r="AB137" s="43"/>
      <c r="AC137" s="35">
        <f t="shared" si="42"/>
        <v>0</v>
      </c>
      <c r="AD137" s="42">
        <f t="shared" si="43"/>
        <v>0</v>
      </c>
    </row>
    <row r="138" spans="2:38">
      <c r="B138" s="47"/>
      <c r="C138" s="48"/>
      <c r="D138" s="49"/>
      <c r="E138" s="14"/>
      <c r="F138" s="43"/>
      <c r="G138" s="14"/>
      <c r="H138" s="43"/>
      <c r="I138" s="14"/>
      <c r="J138" s="43"/>
      <c r="K138" s="14"/>
      <c r="L138" s="43"/>
      <c r="M138" s="14"/>
      <c r="N138" s="43"/>
      <c r="O138" s="14"/>
      <c r="P138" s="43"/>
      <c r="Q138" s="14"/>
      <c r="R138" s="43"/>
      <c r="S138" s="14"/>
      <c r="T138" s="43"/>
      <c r="U138" s="14"/>
      <c r="V138" s="43"/>
      <c r="W138" s="14"/>
      <c r="X138" s="43"/>
      <c r="Y138" s="14"/>
      <c r="Z138" s="43"/>
      <c r="AA138" s="14"/>
      <c r="AB138" s="43"/>
      <c r="AC138" s="35">
        <f t="shared" si="42"/>
        <v>0</v>
      </c>
      <c r="AD138" s="42">
        <f t="shared" si="43"/>
        <v>0</v>
      </c>
    </row>
    <row r="139" spans="2:38">
      <c r="B139" s="47"/>
      <c r="C139" s="48"/>
      <c r="D139" s="49"/>
      <c r="E139" s="14"/>
      <c r="F139" s="43"/>
      <c r="G139" s="14"/>
      <c r="H139" s="43"/>
      <c r="I139" s="14"/>
      <c r="J139" s="43"/>
      <c r="K139" s="14"/>
      <c r="L139" s="43"/>
      <c r="M139" s="14"/>
      <c r="N139" s="43"/>
      <c r="O139" s="14"/>
      <c r="P139" s="43"/>
      <c r="Q139" s="14"/>
      <c r="R139" s="43"/>
      <c r="S139" s="14"/>
      <c r="T139" s="43"/>
      <c r="U139" s="14"/>
      <c r="V139" s="43"/>
      <c r="W139" s="14"/>
      <c r="X139" s="43"/>
      <c r="Y139" s="14"/>
      <c r="Z139" s="43"/>
      <c r="AA139" s="14"/>
      <c r="AB139" s="43"/>
      <c r="AC139" s="35">
        <f t="shared" si="42"/>
        <v>0</v>
      </c>
      <c r="AD139" s="42">
        <f t="shared" si="43"/>
        <v>0</v>
      </c>
    </row>
    <row r="140" spans="2:38">
      <c r="B140" s="47"/>
      <c r="C140" s="48"/>
      <c r="D140" s="49"/>
      <c r="E140" s="14"/>
      <c r="F140" s="43"/>
      <c r="G140" s="14"/>
      <c r="H140" s="43"/>
      <c r="I140" s="14"/>
      <c r="J140" s="43"/>
      <c r="K140" s="14"/>
      <c r="L140" s="43"/>
      <c r="M140" s="14"/>
      <c r="N140" s="43"/>
      <c r="O140" s="14"/>
      <c r="P140" s="43"/>
      <c r="Q140" s="14"/>
      <c r="R140" s="43"/>
      <c r="S140" s="14"/>
      <c r="T140" s="43"/>
      <c r="U140" s="14"/>
      <c r="V140" s="43"/>
      <c r="W140" s="14"/>
      <c r="X140" s="43"/>
      <c r="Y140" s="14"/>
      <c r="Z140" s="43"/>
      <c r="AA140" s="14"/>
      <c r="AB140" s="43"/>
      <c r="AC140" s="35">
        <f t="shared" si="42"/>
        <v>0</v>
      </c>
      <c r="AD140" s="42">
        <f t="shared" si="43"/>
        <v>0</v>
      </c>
    </row>
    <row r="141" spans="2:38">
      <c r="C141" s="44"/>
      <c r="D141" s="45"/>
      <c r="E141" s="14"/>
      <c r="F141" s="43"/>
      <c r="G141" s="14"/>
      <c r="H141" s="43"/>
      <c r="I141" s="14"/>
      <c r="J141" s="43"/>
      <c r="K141" s="14"/>
      <c r="L141" s="43"/>
      <c r="M141" s="14"/>
      <c r="N141" s="43"/>
      <c r="O141" s="14"/>
      <c r="P141" s="43"/>
      <c r="Q141" s="14"/>
      <c r="R141" s="43"/>
      <c r="S141" s="14"/>
      <c r="T141" s="43"/>
      <c r="U141" s="14"/>
      <c r="V141" s="43"/>
      <c r="W141" s="14"/>
      <c r="X141" s="43"/>
      <c r="Y141" s="14"/>
      <c r="Z141" s="43"/>
      <c r="AA141" s="14"/>
      <c r="AB141" s="43"/>
      <c r="AC141" s="35">
        <f t="shared" si="42"/>
        <v>0</v>
      </c>
      <c r="AD141" s="42">
        <f t="shared" si="43"/>
        <v>0</v>
      </c>
    </row>
    <row r="142" spans="2:38">
      <c r="C142" s="44"/>
      <c r="D142" s="45"/>
      <c r="E142" s="14"/>
      <c r="F142" s="43"/>
      <c r="G142" s="14"/>
      <c r="H142" s="43"/>
      <c r="I142" s="14"/>
      <c r="J142" s="43"/>
      <c r="K142" s="14"/>
      <c r="L142" s="43"/>
      <c r="M142" s="14"/>
      <c r="N142" s="43"/>
      <c r="O142" s="14"/>
      <c r="P142" s="43"/>
      <c r="Q142" s="14"/>
      <c r="R142" s="43"/>
      <c r="S142" s="14"/>
      <c r="T142" s="43"/>
      <c r="U142" s="14"/>
      <c r="V142" s="43"/>
      <c r="W142" s="14"/>
      <c r="X142" s="43"/>
      <c r="Y142" s="14"/>
      <c r="Z142" s="43"/>
      <c r="AA142" s="14"/>
      <c r="AB142" s="43"/>
      <c r="AC142" s="35">
        <f t="shared" si="42"/>
        <v>0</v>
      </c>
      <c r="AD142" s="42">
        <f t="shared" si="43"/>
        <v>0</v>
      </c>
    </row>
    <row r="143" spans="2:38">
      <c r="C143" s="44"/>
      <c r="D143" s="45"/>
      <c r="E143" s="14"/>
      <c r="F143" s="43"/>
      <c r="G143" s="14"/>
      <c r="H143" s="43"/>
      <c r="I143" s="14"/>
      <c r="J143" s="43"/>
      <c r="K143" s="14"/>
      <c r="L143" s="43"/>
      <c r="M143" s="14"/>
      <c r="N143" s="43"/>
      <c r="O143" s="14"/>
      <c r="P143" s="43"/>
      <c r="Q143" s="14"/>
      <c r="R143" s="43"/>
      <c r="S143" s="14"/>
      <c r="T143" s="43"/>
      <c r="U143" s="14"/>
      <c r="V143" s="43"/>
      <c r="W143" s="14"/>
      <c r="X143" s="43"/>
      <c r="Y143" s="14"/>
      <c r="Z143" s="43"/>
      <c r="AA143" s="14"/>
      <c r="AB143" s="43"/>
      <c r="AC143" s="35">
        <f t="shared" si="42"/>
        <v>0</v>
      </c>
      <c r="AD143" s="42">
        <f t="shared" si="43"/>
        <v>0</v>
      </c>
    </row>
    <row r="144" spans="2:38">
      <c r="C144" s="44"/>
      <c r="D144" s="45"/>
      <c r="E144" s="14"/>
      <c r="F144" s="43"/>
      <c r="G144" s="14"/>
      <c r="H144" s="43"/>
      <c r="I144" s="14"/>
      <c r="J144" s="43"/>
      <c r="K144" s="14"/>
      <c r="L144" s="43"/>
      <c r="M144" s="14"/>
      <c r="N144" s="43"/>
      <c r="O144" s="14"/>
      <c r="P144" s="43"/>
      <c r="Q144" s="14"/>
      <c r="R144" s="43"/>
      <c r="S144" s="14"/>
      <c r="T144" s="43"/>
      <c r="U144" s="14"/>
      <c r="V144" s="43"/>
      <c r="W144" s="14"/>
      <c r="X144" s="43"/>
      <c r="Y144" s="14"/>
      <c r="Z144" s="43"/>
      <c r="AA144" s="14"/>
      <c r="AB144" s="43"/>
      <c r="AC144" s="35">
        <f t="shared" si="42"/>
        <v>0</v>
      </c>
      <c r="AD144" s="42">
        <f t="shared" si="43"/>
        <v>0</v>
      </c>
    </row>
    <row r="145" spans="3:30">
      <c r="C145" s="44"/>
      <c r="D145" s="45"/>
      <c r="E145" s="14"/>
      <c r="F145" s="43"/>
      <c r="G145" s="14"/>
      <c r="H145" s="43"/>
      <c r="I145" s="14"/>
      <c r="J145" s="43"/>
      <c r="K145" s="14"/>
      <c r="L145" s="43"/>
      <c r="M145" s="14"/>
      <c r="N145" s="43"/>
      <c r="O145" s="14"/>
      <c r="P145" s="43"/>
      <c r="Q145" s="14"/>
      <c r="R145" s="43"/>
      <c r="S145" s="14"/>
      <c r="T145" s="43"/>
      <c r="U145" s="14"/>
      <c r="V145" s="43"/>
      <c r="W145" s="14"/>
      <c r="X145" s="43"/>
      <c r="Y145" s="14"/>
      <c r="Z145" s="43"/>
      <c r="AA145" s="14"/>
      <c r="AB145" s="43"/>
      <c r="AC145" s="35">
        <f t="shared" si="42"/>
        <v>0</v>
      </c>
      <c r="AD145" s="42">
        <f t="shared" si="43"/>
        <v>0</v>
      </c>
    </row>
    <row r="146" spans="3:30">
      <c r="C146" s="44"/>
      <c r="D146" s="45"/>
      <c r="E146" s="14"/>
      <c r="F146" s="43"/>
      <c r="G146" s="14"/>
      <c r="H146" s="43"/>
      <c r="I146" s="14"/>
      <c r="J146" s="43"/>
      <c r="K146" s="14"/>
      <c r="L146" s="43"/>
      <c r="M146" s="14"/>
      <c r="N146" s="43"/>
      <c r="O146" s="14"/>
      <c r="P146" s="43"/>
      <c r="Q146" s="14"/>
      <c r="R146" s="43"/>
      <c r="S146" s="14"/>
      <c r="T146" s="43"/>
      <c r="U146" s="14"/>
      <c r="V146" s="43"/>
      <c r="W146" s="14"/>
      <c r="X146" s="43"/>
      <c r="Y146" s="14"/>
      <c r="Z146" s="43"/>
      <c r="AA146" s="14"/>
      <c r="AB146" s="43"/>
      <c r="AC146" s="35">
        <f t="shared" si="42"/>
        <v>0</v>
      </c>
      <c r="AD146" s="42">
        <f t="shared" si="43"/>
        <v>0</v>
      </c>
    </row>
    <row r="147" spans="3:30">
      <c r="C147" s="44"/>
      <c r="D147" s="45"/>
      <c r="E147" s="14"/>
      <c r="F147" s="43"/>
      <c r="G147" s="14"/>
      <c r="H147" s="43"/>
      <c r="I147" s="14"/>
      <c r="J147" s="43"/>
      <c r="K147" s="14"/>
      <c r="L147" s="43"/>
      <c r="M147" s="14"/>
      <c r="N147" s="43"/>
      <c r="O147" s="14"/>
      <c r="P147" s="43"/>
      <c r="Q147" s="14"/>
      <c r="R147" s="43"/>
      <c r="S147" s="14"/>
      <c r="T147" s="43"/>
      <c r="U147" s="14"/>
      <c r="V147" s="43"/>
      <c r="W147" s="14"/>
      <c r="X147" s="43"/>
      <c r="Y147" s="14"/>
      <c r="Z147" s="43"/>
      <c r="AA147" s="14"/>
      <c r="AB147" s="43"/>
      <c r="AC147" s="35">
        <f t="shared" si="42"/>
        <v>0</v>
      </c>
      <c r="AD147" s="42">
        <f t="shared" si="43"/>
        <v>0</v>
      </c>
    </row>
    <row r="148" spans="3:30">
      <c r="C148" s="44"/>
      <c r="D148" s="45"/>
      <c r="E148" s="14"/>
      <c r="F148" s="43"/>
      <c r="G148" s="14"/>
      <c r="H148" s="43"/>
      <c r="I148" s="14"/>
      <c r="J148" s="43"/>
      <c r="K148" s="14"/>
      <c r="L148" s="43"/>
      <c r="M148" s="14"/>
      <c r="N148" s="43"/>
      <c r="O148" s="14"/>
      <c r="P148" s="43"/>
      <c r="Q148" s="14"/>
      <c r="R148" s="43"/>
      <c r="S148" s="14"/>
      <c r="T148" s="43"/>
      <c r="U148" s="14"/>
      <c r="V148" s="43"/>
      <c r="W148" s="14"/>
      <c r="X148" s="43"/>
      <c r="Y148" s="14"/>
      <c r="Z148" s="43"/>
      <c r="AA148" s="14"/>
      <c r="AB148" s="43"/>
      <c r="AC148" s="35">
        <f t="shared" si="42"/>
        <v>0</v>
      </c>
      <c r="AD148" s="42">
        <f t="shared" si="43"/>
        <v>0</v>
      </c>
    </row>
    <row r="149" spans="3:30">
      <c r="C149" s="44"/>
      <c r="D149" s="45"/>
      <c r="E149" s="14"/>
      <c r="F149" s="43"/>
      <c r="G149" s="14"/>
      <c r="H149" s="43"/>
      <c r="I149" s="14"/>
      <c r="J149" s="43"/>
      <c r="K149" s="14"/>
      <c r="L149" s="43"/>
      <c r="M149" s="14"/>
      <c r="N149" s="43"/>
      <c r="O149" s="14"/>
      <c r="P149" s="43"/>
      <c r="Q149" s="14"/>
      <c r="R149" s="43"/>
      <c r="S149" s="14"/>
      <c r="T149" s="43"/>
      <c r="U149" s="14"/>
      <c r="V149" s="43"/>
      <c r="W149" s="14"/>
      <c r="X149" s="43"/>
      <c r="Y149" s="14"/>
      <c r="Z149" s="43"/>
      <c r="AA149" s="14"/>
      <c r="AB149" s="43"/>
      <c r="AC149" s="35">
        <f t="shared" si="42"/>
        <v>0</v>
      </c>
      <c r="AD149" s="42">
        <f t="shared" si="43"/>
        <v>0</v>
      </c>
    </row>
    <row r="150" spans="3:30">
      <c r="C150" s="44"/>
      <c r="D150" s="45"/>
      <c r="E150" s="14"/>
      <c r="F150" s="43"/>
      <c r="G150" s="14"/>
      <c r="H150" s="43"/>
      <c r="I150" s="14"/>
      <c r="J150" s="43"/>
      <c r="K150" s="14"/>
      <c r="L150" s="43"/>
      <c r="M150" s="14"/>
      <c r="N150" s="43"/>
      <c r="O150" s="14"/>
      <c r="P150" s="43"/>
      <c r="Q150" s="14"/>
      <c r="R150" s="43"/>
      <c r="S150" s="14"/>
      <c r="T150" s="43"/>
      <c r="U150" s="14"/>
      <c r="V150" s="43"/>
      <c r="W150" s="14"/>
      <c r="X150" s="43"/>
      <c r="Y150" s="14"/>
      <c r="Z150" s="43"/>
      <c r="AA150" s="14"/>
      <c r="AB150" s="43"/>
      <c r="AC150" s="35">
        <f t="shared" si="42"/>
        <v>0</v>
      </c>
      <c r="AD150" s="42">
        <f t="shared" si="43"/>
        <v>0</v>
      </c>
    </row>
    <row r="151" spans="3:30">
      <c r="C151" s="44"/>
      <c r="D151" s="45"/>
      <c r="E151" s="14"/>
      <c r="F151" s="43"/>
      <c r="G151" s="14"/>
      <c r="H151" s="43"/>
      <c r="I151" s="14"/>
      <c r="J151" s="43"/>
      <c r="K151" s="14"/>
      <c r="L151" s="43"/>
      <c r="M151" s="14"/>
      <c r="N151" s="43"/>
      <c r="O151" s="14"/>
      <c r="P151" s="43"/>
      <c r="Q151" s="14"/>
      <c r="R151" s="43"/>
      <c r="S151" s="14"/>
      <c r="T151" s="43"/>
      <c r="U151" s="14"/>
      <c r="V151" s="43"/>
      <c r="W151" s="14"/>
      <c r="X151" s="43"/>
      <c r="Y151" s="14"/>
      <c r="Z151" s="43"/>
      <c r="AA151" s="14"/>
      <c r="AB151" s="43"/>
      <c r="AC151" s="35">
        <f t="shared" si="42"/>
        <v>0</v>
      </c>
      <c r="AD151" s="42">
        <f t="shared" si="43"/>
        <v>0</v>
      </c>
    </row>
    <row r="152" spans="3:30">
      <c r="C152" s="44"/>
      <c r="D152" s="45"/>
      <c r="E152" s="14"/>
      <c r="F152" s="43"/>
      <c r="G152" s="14"/>
      <c r="H152" s="43"/>
      <c r="I152" s="14"/>
      <c r="J152" s="43"/>
      <c r="K152" s="14"/>
      <c r="L152" s="43"/>
      <c r="M152" s="14"/>
      <c r="N152" s="43"/>
      <c r="O152" s="14"/>
      <c r="P152" s="43"/>
      <c r="Q152" s="14"/>
      <c r="R152" s="43"/>
      <c r="S152" s="14"/>
      <c r="T152" s="43"/>
      <c r="U152" s="14"/>
      <c r="V152" s="43"/>
      <c r="W152" s="14"/>
      <c r="X152" s="43"/>
      <c r="Y152" s="14"/>
      <c r="Z152" s="43"/>
      <c r="AA152" s="14"/>
      <c r="AB152" s="43"/>
      <c r="AC152" s="35">
        <f t="shared" si="42"/>
        <v>0</v>
      </c>
      <c r="AD152" s="42">
        <f t="shared" si="43"/>
        <v>0</v>
      </c>
    </row>
    <row r="153" spans="3:30">
      <c r="C153" s="44"/>
      <c r="D153" s="45"/>
      <c r="E153" s="14"/>
      <c r="F153" s="43"/>
      <c r="G153" s="14"/>
      <c r="H153" s="43"/>
      <c r="I153" s="14"/>
      <c r="J153" s="43"/>
      <c r="K153" s="14"/>
      <c r="L153" s="43"/>
      <c r="M153" s="14"/>
      <c r="N153" s="43"/>
      <c r="O153" s="14"/>
      <c r="P153" s="43"/>
      <c r="Q153" s="14"/>
      <c r="R153" s="43"/>
      <c r="S153" s="14"/>
      <c r="T153" s="43"/>
      <c r="U153" s="14"/>
      <c r="V153" s="43"/>
      <c r="W153" s="14"/>
      <c r="X153" s="43"/>
      <c r="Y153" s="14"/>
      <c r="Z153" s="43"/>
      <c r="AA153" s="14"/>
      <c r="AB153" s="43"/>
      <c r="AC153" s="35">
        <f t="shared" si="42"/>
        <v>0</v>
      </c>
      <c r="AD153" s="42">
        <f t="shared" si="43"/>
        <v>0</v>
      </c>
    </row>
    <row r="154" spans="3:30">
      <c r="C154" s="44"/>
      <c r="D154" s="45"/>
      <c r="E154" s="14"/>
      <c r="F154" s="43"/>
      <c r="G154" s="14"/>
      <c r="H154" s="43"/>
      <c r="I154" s="14"/>
      <c r="J154" s="43"/>
      <c r="K154" s="14"/>
      <c r="L154" s="43"/>
      <c r="M154" s="14"/>
      <c r="N154" s="43"/>
      <c r="O154" s="14"/>
      <c r="P154" s="43"/>
      <c r="Q154" s="14"/>
      <c r="R154" s="43"/>
      <c r="S154" s="14"/>
      <c r="T154" s="43"/>
      <c r="U154" s="14"/>
      <c r="V154" s="43"/>
      <c r="W154" s="14"/>
      <c r="X154" s="43"/>
      <c r="Y154" s="14"/>
      <c r="Z154" s="43"/>
      <c r="AA154" s="14"/>
      <c r="AB154" s="43"/>
      <c r="AC154" s="35">
        <f t="shared" si="42"/>
        <v>0</v>
      </c>
      <c r="AD154" s="42">
        <f t="shared" si="43"/>
        <v>0</v>
      </c>
    </row>
    <row r="155" spans="3:30">
      <c r="C155" s="44"/>
      <c r="D155" s="45"/>
      <c r="E155" s="14"/>
      <c r="F155" s="43"/>
      <c r="G155" s="14"/>
      <c r="H155" s="43"/>
      <c r="I155" s="14"/>
      <c r="J155" s="43"/>
      <c r="K155" s="14"/>
      <c r="L155" s="43"/>
      <c r="M155" s="14"/>
      <c r="N155" s="43"/>
      <c r="O155" s="14"/>
      <c r="P155" s="43"/>
      <c r="Q155" s="14"/>
      <c r="R155" s="43"/>
      <c r="S155" s="14"/>
      <c r="T155" s="43"/>
      <c r="U155" s="14"/>
      <c r="V155" s="43"/>
      <c r="W155" s="14"/>
      <c r="X155" s="43"/>
      <c r="Y155" s="14"/>
      <c r="Z155" s="43"/>
      <c r="AA155" s="14"/>
      <c r="AB155" s="43"/>
      <c r="AC155" s="35">
        <f t="shared" si="42"/>
        <v>0</v>
      </c>
      <c r="AD155" s="42">
        <f t="shared" si="43"/>
        <v>0</v>
      </c>
    </row>
    <row r="156" spans="3:30">
      <c r="C156" s="44"/>
      <c r="D156" s="45"/>
      <c r="E156" s="14"/>
      <c r="F156" s="43"/>
      <c r="G156" s="14"/>
      <c r="H156" s="43"/>
      <c r="I156" s="14"/>
      <c r="J156" s="43"/>
      <c r="K156" s="14"/>
      <c r="L156" s="43"/>
      <c r="M156" s="14"/>
      <c r="N156" s="43"/>
      <c r="O156" s="14"/>
      <c r="P156" s="43"/>
      <c r="Q156" s="14"/>
      <c r="R156" s="43"/>
      <c r="S156" s="14"/>
      <c r="T156" s="43"/>
      <c r="U156" s="14"/>
      <c r="V156" s="43"/>
      <c r="W156" s="14"/>
      <c r="X156" s="43"/>
      <c r="Y156" s="14"/>
      <c r="Z156" s="43"/>
      <c r="AA156" s="14"/>
      <c r="AB156" s="43"/>
      <c r="AC156" s="35">
        <f t="shared" si="42"/>
        <v>0</v>
      </c>
      <c r="AD156" s="42">
        <f t="shared" si="43"/>
        <v>0</v>
      </c>
    </row>
    <row r="157" spans="3:30">
      <c r="C157" s="44"/>
      <c r="D157" s="45"/>
      <c r="E157" s="14"/>
      <c r="F157" s="43"/>
      <c r="G157" s="14"/>
      <c r="H157" s="43"/>
      <c r="I157" s="14"/>
      <c r="J157" s="43"/>
      <c r="K157" s="14"/>
      <c r="L157" s="43"/>
      <c r="M157" s="14"/>
      <c r="N157" s="43"/>
      <c r="O157" s="14"/>
      <c r="P157" s="43"/>
      <c r="Q157" s="14"/>
      <c r="R157" s="43"/>
      <c r="S157" s="14"/>
      <c r="T157" s="43"/>
      <c r="U157" s="14"/>
      <c r="V157" s="43"/>
      <c r="W157" s="14"/>
      <c r="X157" s="43"/>
      <c r="Y157" s="14"/>
      <c r="Z157" s="43"/>
      <c r="AA157" s="14"/>
      <c r="AB157" s="43"/>
      <c r="AC157" s="35">
        <f t="shared" si="42"/>
        <v>0</v>
      </c>
      <c r="AD157" s="42">
        <f t="shared" si="43"/>
        <v>0</v>
      </c>
    </row>
    <row r="158" spans="3:30">
      <c r="C158" s="44"/>
      <c r="D158" s="45"/>
      <c r="E158" s="14"/>
      <c r="F158" s="43"/>
      <c r="G158" s="14"/>
      <c r="H158" s="43"/>
      <c r="I158" s="14"/>
      <c r="J158" s="43"/>
      <c r="K158" s="14"/>
      <c r="L158" s="43"/>
      <c r="M158" s="14"/>
      <c r="N158" s="43"/>
      <c r="O158" s="14"/>
      <c r="P158" s="43"/>
      <c r="Q158" s="14"/>
      <c r="R158" s="43"/>
      <c r="S158" s="14"/>
      <c r="T158" s="43"/>
      <c r="U158" s="14"/>
      <c r="V158" s="43"/>
      <c r="W158" s="14"/>
      <c r="X158" s="43"/>
      <c r="Y158" s="14"/>
      <c r="Z158" s="43"/>
      <c r="AA158" s="14"/>
      <c r="AB158" s="43"/>
      <c r="AC158" s="35">
        <f t="shared" si="42"/>
        <v>0</v>
      </c>
      <c r="AD158" s="42">
        <f t="shared" si="43"/>
        <v>0</v>
      </c>
    </row>
    <row r="159" spans="3:30">
      <c r="C159" s="44"/>
      <c r="D159" s="45"/>
      <c r="E159" s="14"/>
      <c r="F159" s="43"/>
      <c r="G159" s="14"/>
      <c r="H159" s="43"/>
      <c r="I159" s="14"/>
      <c r="J159" s="43"/>
      <c r="K159" s="14"/>
      <c r="L159" s="43"/>
      <c r="M159" s="14"/>
      <c r="N159" s="43"/>
      <c r="O159" s="14"/>
      <c r="P159" s="43"/>
      <c r="Q159" s="14"/>
      <c r="R159" s="43"/>
      <c r="S159" s="14"/>
      <c r="T159" s="43"/>
      <c r="U159" s="14"/>
      <c r="V159" s="43"/>
      <c r="W159" s="14"/>
      <c r="X159" s="43"/>
      <c r="Y159" s="14"/>
      <c r="Z159" s="43"/>
      <c r="AA159" s="14"/>
      <c r="AB159" s="43"/>
      <c r="AC159" s="35">
        <f t="shared" si="42"/>
        <v>0</v>
      </c>
      <c r="AD159" s="42">
        <f t="shared" si="43"/>
        <v>0</v>
      </c>
    </row>
    <row r="160" spans="3:30">
      <c r="C160" s="44"/>
      <c r="D160" s="45"/>
      <c r="E160" s="14"/>
      <c r="F160" s="43"/>
      <c r="G160" s="14"/>
      <c r="H160" s="43"/>
      <c r="I160" s="14"/>
      <c r="J160" s="43"/>
      <c r="K160" s="14"/>
      <c r="L160" s="43"/>
      <c r="M160" s="14"/>
      <c r="N160" s="43"/>
      <c r="O160" s="14"/>
      <c r="P160" s="43"/>
      <c r="Q160" s="14"/>
      <c r="R160" s="43"/>
      <c r="S160" s="14"/>
      <c r="T160" s="43"/>
      <c r="U160" s="14"/>
      <c r="V160" s="43"/>
      <c r="W160" s="14"/>
      <c r="X160" s="43"/>
      <c r="Y160" s="14"/>
      <c r="Z160" s="43"/>
      <c r="AA160" s="14"/>
      <c r="AB160" s="43"/>
      <c r="AC160" s="35">
        <f t="shared" si="42"/>
        <v>0</v>
      </c>
      <c r="AD160" s="42">
        <f t="shared" si="43"/>
        <v>0</v>
      </c>
    </row>
    <row r="161" spans="3:30">
      <c r="C161" s="44"/>
      <c r="D161" s="45"/>
      <c r="E161" s="14"/>
      <c r="F161" s="43"/>
      <c r="G161" s="14"/>
      <c r="H161" s="43"/>
      <c r="I161" s="14"/>
      <c r="J161" s="43"/>
      <c r="K161" s="14"/>
      <c r="L161" s="43"/>
      <c r="M161" s="14"/>
      <c r="N161" s="43"/>
      <c r="O161" s="14"/>
      <c r="P161" s="43"/>
      <c r="Q161" s="14"/>
      <c r="R161" s="43"/>
      <c r="S161" s="14"/>
      <c r="T161" s="43"/>
      <c r="U161" s="14"/>
      <c r="V161" s="43"/>
      <c r="W161" s="14"/>
      <c r="X161" s="43"/>
      <c r="Y161" s="14"/>
      <c r="Z161" s="43"/>
      <c r="AA161" s="14"/>
      <c r="AB161" s="43"/>
      <c r="AC161" s="35">
        <f t="shared" si="42"/>
        <v>0</v>
      </c>
      <c r="AD161" s="42">
        <f t="shared" si="43"/>
        <v>0</v>
      </c>
    </row>
    <row r="162" spans="3:30">
      <c r="C162" s="44"/>
      <c r="D162" s="45"/>
      <c r="E162" s="14"/>
      <c r="F162" s="43"/>
      <c r="G162" s="14"/>
      <c r="H162" s="43"/>
      <c r="I162" s="14"/>
      <c r="J162" s="43"/>
      <c r="K162" s="14"/>
      <c r="L162" s="43"/>
      <c r="M162" s="14"/>
      <c r="N162" s="43"/>
      <c r="O162" s="14"/>
      <c r="P162" s="43"/>
      <c r="Q162" s="14"/>
      <c r="R162" s="43"/>
      <c r="S162" s="14"/>
      <c r="T162" s="43"/>
      <c r="U162" s="14"/>
      <c r="V162" s="43"/>
      <c r="W162" s="14"/>
      <c r="X162" s="43"/>
      <c r="Y162" s="14"/>
      <c r="Z162" s="43"/>
      <c r="AA162" s="14"/>
      <c r="AB162" s="43"/>
      <c r="AC162" s="35">
        <f t="shared" si="42"/>
        <v>0</v>
      </c>
      <c r="AD162" s="42">
        <f t="shared" si="43"/>
        <v>0</v>
      </c>
    </row>
    <row r="163" spans="3:30">
      <c r="C163" s="44"/>
      <c r="D163" s="45"/>
      <c r="E163" s="14"/>
      <c r="F163" s="43"/>
      <c r="G163" s="14"/>
      <c r="H163" s="43"/>
      <c r="I163" s="14"/>
      <c r="J163" s="43"/>
      <c r="K163" s="14"/>
      <c r="L163" s="43"/>
      <c r="M163" s="14"/>
      <c r="N163" s="43"/>
      <c r="O163" s="14"/>
      <c r="P163" s="43"/>
      <c r="Q163" s="14"/>
      <c r="R163" s="43"/>
      <c r="S163" s="14"/>
      <c r="T163" s="43"/>
      <c r="U163" s="14"/>
      <c r="V163" s="43"/>
      <c r="W163" s="14"/>
      <c r="X163" s="43"/>
      <c r="Y163" s="14"/>
      <c r="Z163" s="43"/>
      <c r="AA163" s="14"/>
      <c r="AB163" s="43"/>
      <c r="AC163" s="35">
        <f t="shared" si="42"/>
        <v>0</v>
      </c>
      <c r="AD163" s="42">
        <f t="shared" si="43"/>
        <v>0</v>
      </c>
    </row>
    <row r="164" spans="3:30">
      <c r="C164" s="44"/>
      <c r="D164" s="45"/>
      <c r="E164" s="14"/>
      <c r="F164" s="43"/>
      <c r="G164" s="14"/>
      <c r="H164" s="43"/>
      <c r="I164" s="14"/>
      <c r="J164" s="43"/>
      <c r="K164" s="14"/>
      <c r="L164" s="43"/>
      <c r="M164" s="14"/>
      <c r="N164" s="43"/>
      <c r="O164" s="14"/>
      <c r="P164" s="43"/>
      <c r="Q164" s="14"/>
      <c r="R164" s="43"/>
      <c r="S164" s="14"/>
      <c r="T164" s="43"/>
      <c r="U164" s="14"/>
      <c r="V164" s="43"/>
      <c r="W164" s="14"/>
      <c r="X164" s="43"/>
      <c r="Y164" s="14"/>
      <c r="Z164" s="43"/>
      <c r="AA164" s="14"/>
      <c r="AB164" s="43"/>
      <c r="AC164" s="35">
        <f t="shared" si="42"/>
        <v>0</v>
      </c>
      <c r="AD164" s="42">
        <f t="shared" si="43"/>
        <v>0</v>
      </c>
    </row>
    <row r="165" spans="3:30">
      <c r="C165" s="44"/>
      <c r="D165" s="45"/>
      <c r="E165" s="14"/>
      <c r="F165" s="43"/>
      <c r="G165" s="14"/>
      <c r="H165" s="43"/>
      <c r="I165" s="14"/>
      <c r="J165" s="43"/>
      <c r="K165" s="14"/>
      <c r="L165" s="43"/>
      <c r="M165" s="14"/>
      <c r="N165" s="43"/>
      <c r="O165" s="14"/>
      <c r="P165" s="43"/>
      <c r="Q165" s="14"/>
      <c r="R165" s="43"/>
      <c r="S165" s="14"/>
      <c r="T165" s="43"/>
      <c r="U165" s="14"/>
      <c r="V165" s="43"/>
      <c r="W165" s="14"/>
      <c r="X165" s="43"/>
      <c r="Y165" s="14"/>
      <c r="Z165" s="43"/>
      <c r="AA165" s="14"/>
      <c r="AB165" s="43"/>
      <c r="AC165" s="35">
        <f t="shared" si="42"/>
        <v>0</v>
      </c>
      <c r="AD165" s="42">
        <f t="shared" si="43"/>
        <v>0</v>
      </c>
    </row>
    <row r="166" spans="3:30">
      <c r="C166" s="44"/>
      <c r="D166" s="45"/>
      <c r="E166" s="14"/>
      <c r="F166" s="43"/>
      <c r="G166" s="14"/>
      <c r="H166" s="43"/>
      <c r="I166" s="14"/>
      <c r="J166" s="43"/>
      <c r="K166" s="14"/>
      <c r="L166" s="43"/>
      <c r="M166" s="14"/>
      <c r="N166" s="43"/>
      <c r="O166" s="14"/>
      <c r="P166" s="43"/>
      <c r="Q166" s="14"/>
      <c r="R166" s="43"/>
      <c r="S166" s="14"/>
      <c r="T166" s="43"/>
      <c r="U166" s="14"/>
      <c r="V166" s="43"/>
      <c r="W166" s="14"/>
      <c r="X166" s="43"/>
      <c r="Y166" s="14"/>
      <c r="Z166" s="43"/>
      <c r="AA166" s="14"/>
      <c r="AB166" s="43"/>
      <c r="AC166" s="35">
        <f t="shared" si="42"/>
        <v>0</v>
      </c>
      <c r="AD166" s="42">
        <f t="shared" si="43"/>
        <v>0</v>
      </c>
    </row>
    <row r="167" spans="3:30">
      <c r="C167" s="44"/>
      <c r="D167" s="45"/>
      <c r="E167" s="14"/>
      <c r="F167" s="43"/>
      <c r="G167" s="14"/>
      <c r="H167" s="43"/>
      <c r="I167" s="14"/>
      <c r="J167" s="43"/>
      <c r="K167" s="14"/>
      <c r="L167" s="43"/>
      <c r="M167" s="14"/>
      <c r="N167" s="43"/>
      <c r="O167" s="14"/>
      <c r="P167" s="43"/>
      <c r="Q167" s="14"/>
      <c r="R167" s="43"/>
      <c r="S167" s="14"/>
      <c r="T167" s="43"/>
      <c r="U167" s="14"/>
      <c r="V167" s="43"/>
      <c r="W167" s="14"/>
      <c r="X167" s="43"/>
      <c r="Y167" s="14"/>
      <c r="Z167" s="43"/>
      <c r="AA167" s="14"/>
      <c r="AB167" s="43"/>
      <c r="AC167" s="35">
        <f t="shared" si="42"/>
        <v>0</v>
      </c>
      <c r="AD167" s="42">
        <f t="shared" si="43"/>
        <v>0</v>
      </c>
    </row>
    <row r="168" spans="3:30">
      <c r="C168" s="44"/>
      <c r="D168" s="45"/>
      <c r="E168" s="14"/>
      <c r="F168" s="43"/>
      <c r="G168" s="14"/>
      <c r="H168" s="43"/>
      <c r="I168" s="14"/>
      <c r="J168" s="43"/>
      <c r="K168" s="14"/>
      <c r="L168" s="43"/>
      <c r="M168" s="14"/>
      <c r="N168" s="43"/>
      <c r="O168" s="14"/>
      <c r="P168" s="43"/>
      <c r="Q168" s="14"/>
      <c r="R168" s="43"/>
      <c r="S168" s="14"/>
      <c r="T168" s="43"/>
      <c r="U168" s="14"/>
      <c r="V168" s="43"/>
      <c r="W168" s="14"/>
      <c r="X168" s="43"/>
      <c r="Y168" s="14"/>
      <c r="Z168" s="43"/>
      <c r="AA168" s="14"/>
      <c r="AB168" s="43"/>
      <c r="AC168" s="35">
        <f t="shared" si="42"/>
        <v>0</v>
      </c>
      <c r="AD168" s="42">
        <f t="shared" si="43"/>
        <v>0</v>
      </c>
    </row>
    <row r="169" spans="3:30">
      <c r="C169" s="44"/>
      <c r="D169" s="45"/>
      <c r="E169" s="14"/>
      <c r="F169" s="43"/>
      <c r="G169" s="14"/>
      <c r="H169" s="43"/>
      <c r="I169" s="14"/>
      <c r="J169" s="43"/>
      <c r="K169" s="14"/>
      <c r="L169" s="43"/>
      <c r="M169" s="14"/>
      <c r="N169" s="43"/>
      <c r="O169" s="14"/>
      <c r="P169" s="43"/>
      <c r="Q169" s="14"/>
      <c r="R169" s="43"/>
      <c r="S169" s="14"/>
      <c r="T169" s="43"/>
      <c r="U169" s="14"/>
      <c r="V169" s="43"/>
      <c r="W169" s="14"/>
      <c r="X169" s="43"/>
      <c r="Y169" s="14"/>
      <c r="Z169" s="43"/>
      <c r="AA169" s="14"/>
      <c r="AB169" s="43"/>
      <c r="AC169" s="35">
        <f t="shared" si="42"/>
        <v>0</v>
      </c>
      <c r="AD169" s="42">
        <f t="shared" si="43"/>
        <v>0</v>
      </c>
    </row>
    <row r="170" spans="3:30">
      <c r="C170" s="44"/>
      <c r="D170" s="45"/>
      <c r="E170" s="14"/>
      <c r="F170" s="43"/>
      <c r="G170" s="14"/>
      <c r="H170" s="43"/>
      <c r="I170" s="14"/>
      <c r="J170" s="43"/>
      <c r="K170" s="14"/>
      <c r="L170" s="43"/>
      <c r="M170" s="14"/>
      <c r="N170" s="43"/>
      <c r="O170" s="14"/>
      <c r="P170" s="43"/>
      <c r="Q170" s="14"/>
      <c r="R170" s="43"/>
      <c r="S170" s="14"/>
      <c r="T170" s="43"/>
      <c r="U170" s="14"/>
      <c r="V170" s="43"/>
      <c r="W170" s="14"/>
      <c r="X170" s="43"/>
      <c r="Y170" s="14"/>
      <c r="Z170" s="43"/>
      <c r="AA170" s="14"/>
      <c r="AB170" s="43"/>
      <c r="AC170" s="35">
        <f t="shared" si="42"/>
        <v>0</v>
      </c>
      <c r="AD170" s="42">
        <f t="shared" si="43"/>
        <v>0</v>
      </c>
    </row>
    <row r="171" spans="3:30">
      <c r="C171" s="44"/>
      <c r="D171" s="45"/>
      <c r="E171" s="14"/>
      <c r="F171" s="43"/>
      <c r="G171" s="14"/>
      <c r="H171" s="43"/>
      <c r="I171" s="14"/>
      <c r="J171" s="43"/>
      <c r="K171" s="14"/>
      <c r="L171" s="43"/>
      <c r="M171" s="14"/>
      <c r="N171" s="43"/>
      <c r="O171" s="14"/>
      <c r="P171" s="43"/>
      <c r="Q171" s="14"/>
      <c r="R171" s="43"/>
      <c r="S171" s="14"/>
      <c r="T171" s="43"/>
      <c r="U171" s="14"/>
      <c r="V171" s="43"/>
      <c r="W171" s="14"/>
      <c r="X171" s="43"/>
      <c r="Y171" s="14"/>
      <c r="Z171" s="43"/>
      <c r="AA171" s="14"/>
      <c r="AB171" s="43"/>
      <c r="AC171" s="35">
        <f t="shared" si="42"/>
        <v>0</v>
      </c>
      <c r="AD171" s="42">
        <f t="shared" si="43"/>
        <v>0</v>
      </c>
    </row>
    <row r="172" spans="3:30">
      <c r="C172" s="44"/>
      <c r="D172" s="45"/>
      <c r="E172" s="14"/>
      <c r="F172" s="43"/>
      <c r="G172" s="14"/>
      <c r="H172" s="43"/>
      <c r="I172" s="14"/>
      <c r="J172" s="43"/>
      <c r="K172" s="14"/>
      <c r="L172" s="43"/>
      <c r="M172" s="14"/>
      <c r="N172" s="43"/>
      <c r="O172" s="14"/>
      <c r="P172" s="43"/>
      <c r="Q172" s="14"/>
      <c r="R172" s="43"/>
      <c r="S172" s="14"/>
      <c r="T172" s="43"/>
      <c r="U172" s="14"/>
      <c r="V172" s="43"/>
      <c r="W172" s="14"/>
      <c r="X172" s="43"/>
      <c r="Y172" s="14"/>
      <c r="Z172" s="43"/>
      <c r="AA172" s="14"/>
      <c r="AB172" s="43"/>
      <c r="AC172" s="35">
        <f t="shared" si="42"/>
        <v>0</v>
      </c>
      <c r="AD172" s="42">
        <f t="shared" si="43"/>
        <v>0</v>
      </c>
    </row>
    <row r="173" spans="3:30">
      <c r="C173" s="44"/>
      <c r="D173" s="45"/>
      <c r="E173" s="14"/>
      <c r="F173" s="43"/>
      <c r="G173" s="14"/>
      <c r="H173" s="43"/>
      <c r="I173" s="14"/>
      <c r="J173" s="43"/>
      <c r="K173" s="14"/>
      <c r="L173" s="43"/>
      <c r="M173" s="14"/>
      <c r="N173" s="43"/>
      <c r="O173" s="14"/>
      <c r="P173" s="43"/>
      <c r="Q173" s="14"/>
      <c r="R173" s="43"/>
      <c r="S173" s="14"/>
      <c r="T173" s="43"/>
      <c r="U173" s="14"/>
      <c r="V173" s="43"/>
      <c r="W173" s="14"/>
      <c r="X173" s="43"/>
      <c r="Y173" s="14"/>
      <c r="Z173" s="43"/>
      <c r="AA173" s="14"/>
      <c r="AB173" s="43"/>
      <c r="AC173" s="35">
        <f t="shared" si="42"/>
        <v>0</v>
      </c>
      <c r="AD173" s="42">
        <f t="shared" si="43"/>
        <v>0</v>
      </c>
    </row>
    <row r="174" spans="3:30">
      <c r="E174" s="14"/>
      <c r="F174" s="43"/>
      <c r="G174" s="14"/>
      <c r="H174" s="43"/>
      <c r="I174" s="14"/>
      <c r="J174" s="43"/>
      <c r="K174" s="14"/>
      <c r="L174" s="43"/>
      <c r="M174" s="14"/>
      <c r="N174" s="43"/>
      <c r="O174" s="14"/>
      <c r="P174" s="43"/>
      <c r="Q174" s="14"/>
      <c r="R174" s="43"/>
      <c r="S174" s="14"/>
      <c r="T174" s="43"/>
      <c r="U174" s="14"/>
      <c r="V174" s="43"/>
      <c r="W174" s="14"/>
      <c r="X174" s="43"/>
      <c r="Y174" s="14"/>
      <c r="Z174" s="43"/>
      <c r="AA174" s="14"/>
      <c r="AB174" s="43"/>
      <c r="AC174" s="35">
        <f t="shared" si="42"/>
        <v>0</v>
      </c>
      <c r="AD174" s="42">
        <f t="shared" si="43"/>
        <v>0</v>
      </c>
    </row>
    <row r="175" spans="3:30">
      <c r="E175" s="14"/>
      <c r="F175" s="43"/>
      <c r="G175" s="14"/>
      <c r="H175" s="43"/>
      <c r="I175" s="14"/>
      <c r="J175" s="43"/>
      <c r="K175" s="14"/>
      <c r="L175" s="43"/>
      <c r="M175" s="14"/>
      <c r="N175" s="43"/>
      <c r="O175" s="14"/>
      <c r="P175" s="43"/>
      <c r="Q175" s="14"/>
      <c r="R175" s="43"/>
      <c r="S175" s="14"/>
      <c r="T175" s="43"/>
      <c r="U175" s="14"/>
      <c r="V175" s="43"/>
      <c r="W175" s="14"/>
      <c r="X175" s="43"/>
      <c r="Y175" s="14"/>
      <c r="Z175" s="43"/>
      <c r="AA175" s="14"/>
      <c r="AB175" s="43"/>
      <c r="AC175" s="35">
        <f t="shared" si="42"/>
        <v>0</v>
      </c>
      <c r="AD175" s="42">
        <f t="shared" si="43"/>
        <v>0</v>
      </c>
    </row>
    <row r="176" spans="3:30">
      <c r="E176" s="14"/>
      <c r="F176" s="43"/>
      <c r="G176" s="14"/>
      <c r="H176" s="43"/>
      <c r="I176" s="14"/>
      <c r="J176" s="43"/>
      <c r="K176" s="14"/>
      <c r="L176" s="43"/>
      <c r="M176" s="14"/>
      <c r="N176" s="43"/>
      <c r="O176" s="14"/>
      <c r="P176" s="43"/>
      <c r="Q176" s="14"/>
      <c r="R176" s="43"/>
      <c r="S176" s="14"/>
      <c r="T176" s="43"/>
      <c r="U176" s="14"/>
      <c r="V176" s="43"/>
      <c r="W176" s="14"/>
      <c r="X176" s="43"/>
      <c r="Y176" s="14"/>
      <c r="Z176" s="43"/>
      <c r="AA176" s="14"/>
      <c r="AB176" s="43"/>
      <c r="AC176" s="35">
        <f t="shared" si="42"/>
        <v>0</v>
      </c>
      <c r="AD176" s="42">
        <f t="shared" si="43"/>
        <v>0</v>
      </c>
    </row>
    <row r="177" spans="5:30">
      <c r="E177" s="14"/>
      <c r="F177" s="43"/>
      <c r="G177" s="14"/>
      <c r="H177" s="43"/>
      <c r="I177" s="14"/>
      <c r="J177" s="43"/>
      <c r="K177" s="14"/>
      <c r="L177" s="43"/>
      <c r="M177" s="14"/>
      <c r="N177" s="43"/>
      <c r="O177" s="14"/>
      <c r="P177" s="43"/>
      <c r="Q177" s="14"/>
      <c r="R177" s="43"/>
      <c r="S177" s="14"/>
      <c r="T177" s="43"/>
      <c r="U177" s="14"/>
      <c r="V177" s="43"/>
      <c r="W177" s="14"/>
      <c r="X177" s="43"/>
      <c r="Y177" s="14"/>
      <c r="Z177" s="43"/>
      <c r="AA177" s="14"/>
      <c r="AB177" s="43"/>
      <c r="AC177" s="35">
        <f t="shared" ref="AC177:AC189" si="60">AA177+Y177+W177+U177+S177+Q177+O177+M177+K177+I177+G177+E177</f>
        <v>0</v>
      </c>
      <c r="AD177" s="42">
        <f t="shared" ref="AD177:AD189" si="61">AB177+Z177+X177+V177+T177+R177+P177+N177+L177+J177+H177+F177</f>
        <v>0</v>
      </c>
    </row>
    <row r="178" spans="5:30">
      <c r="E178" s="14"/>
      <c r="F178" s="43"/>
      <c r="G178" s="14"/>
      <c r="H178" s="43"/>
      <c r="I178" s="14"/>
      <c r="J178" s="43"/>
      <c r="K178" s="14"/>
      <c r="L178" s="43"/>
      <c r="M178" s="14"/>
      <c r="N178" s="43"/>
      <c r="O178" s="14"/>
      <c r="P178" s="43"/>
      <c r="Q178" s="14"/>
      <c r="R178" s="43"/>
      <c r="S178" s="14"/>
      <c r="T178" s="43"/>
      <c r="U178" s="14"/>
      <c r="V178" s="43"/>
      <c r="W178" s="14"/>
      <c r="X178" s="43"/>
      <c r="Y178" s="14"/>
      <c r="Z178" s="43"/>
      <c r="AA178" s="14"/>
      <c r="AB178" s="43"/>
      <c r="AC178" s="35">
        <f t="shared" si="60"/>
        <v>0</v>
      </c>
      <c r="AD178" s="42">
        <f t="shared" si="61"/>
        <v>0</v>
      </c>
    </row>
    <row r="179" spans="5:30">
      <c r="E179" s="14"/>
      <c r="F179" s="43"/>
      <c r="G179" s="14"/>
      <c r="H179" s="43"/>
      <c r="I179" s="14"/>
      <c r="J179" s="43"/>
      <c r="K179" s="14"/>
      <c r="L179" s="43"/>
      <c r="M179" s="14"/>
      <c r="N179" s="43"/>
      <c r="O179" s="14"/>
      <c r="P179" s="43"/>
      <c r="Q179" s="14"/>
      <c r="R179" s="43"/>
      <c r="S179" s="14"/>
      <c r="T179" s="43"/>
      <c r="U179" s="14"/>
      <c r="V179" s="43"/>
      <c r="W179" s="14"/>
      <c r="X179" s="43"/>
      <c r="Y179" s="14"/>
      <c r="Z179" s="43"/>
      <c r="AA179" s="14"/>
      <c r="AB179" s="43"/>
      <c r="AC179" s="35">
        <f t="shared" si="60"/>
        <v>0</v>
      </c>
      <c r="AD179" s="42">
        <f t="shared" si="61"/>
        <v>0</v>
      </c>
    </row>
    <row r="180" spans="5:30">
      <c r="E180" s="14"/>
      <c r="F180" s="43"/>
      <c r="G180" s="14"/>
      <c r="H180" s="43"/>
      <c r="I180" s="14"/>
      <c r="J180" s="43"/>
      <c r="K180" s="14"/>
      <c r="L180" s="43"/>
      <c r="M180" s="14"/>
      <c r="N180" s="43"/>
      <c r="O180" s="14"/>
      <c r="P180" s="43"/>
      <c r="Q180" s="14"/>
      <c r="R180" s="43"/>
      <c r="S180" s="14"/>
      <c r="T180" s="43"/>
      <c r="U180" s="14"/>
      <c r="V180" s="43"/>
      <c r="W180" s="14"/>
      <c r="X180" s="43"/>
      <c r="Y180" s="14"/>
      <c r="Z180" s="43"/>
      <c r="AA180" s="14"/>
      <c r="AB180" s="43"/>
      <c r="AC180" s="35">
        <f t="shared" si="60"/>
        <v>0</v>
      </c>
      <c r="AD180" s="42">
        <f t="shared" si="61"/>
        <v>0</v>
      </c>
    </row>
    <row r="181" spans="5:30">
      <c r="E181" s="14"/>
      <c r="F181" s="43"/>
      <c r="G181" s="14"/>
      <c r="H181" s="43"/>
      <c r="I181" s="14"/>
      <c r="J181" s="43"/>
      <c r="K181" s="14"/>
      <c r="L181" s="43"/>
      <c r="M181" s="14"/>
      <c r="N181" s="43"/>
      <c r="O181" s="14"/>
      <c r="P181" s="43"/>
      <c r="Q181" s="14"/>
      <c r="R181" s="43"/>
      <c r="S181" s="14"/>
      <c r="T181" s="43"/>
      <c r="U181" s="14"/>
      <c r="V181" s="43"/>
      <c r="W181" s="14"/>
      <c r="X181" s="43"/>
      <c r="Y181" s="14"/>
      <c r="Z181" s="43"/>
      <c r="AA181" s="14"/>
      <c r="AB181" s="43"/>
      <c r="AC181" s="35">
        <f t="shared" si="60"/>
        <v>0</v>
      </c>
      <c r="AD181" s="42">
        <f t="shared" si="61"/>
        <v>0</v>
      </c>
    </row>
    <row r="182" spans="5:30">
      <c r="E182" s="14"/>
      <c r="F182" s="43"/>
      <c r="G182" s="14"/>
      <c r="H182" s="43"/>
      <c r="I182" s="14"/>
      <c r="J182" s="43"/>
      <c r="K182" s="14"/>
      <c r="L182" s="43"/>
      <c r="M182" s="14"/>
      <c r="N182" s="43"/>
      <c r="O182" s="14"/>
      <c r="P182" s="43"/>
      <c r="Q182" s="14"/>
      <c r="R182" s="43"/>
      <c r="S182" s="14"/>
      <c r="T182" s="43"/>
      <c r="U182" s="14"/>
      <c r="V182" s="43"/>
      <c r="W182" s="14"/>
      <c r="X182" s="43"/>
      <c r="Y182" s="14"/>
      <c r="Z182" s="43"/>
      <c r="AA182" s="14"/>
      <c r="AB182" s="43"/>
      <c r="AC182" s="35">
        <f t="shared" si="60"/>
        <v>0</v>
      </c>
      <c r="AD182" s="42">
        <f t="shared" si="61"/>
        <v>0</v>
      </c>
    </row>
    <row r="183" spans="5:30">
      <c r="E183" s="14"/>
      <c r="F183" s="43"/>
      <c r="G183" s="14"/>
      <c r="H183" s="43"/>
      <c r="I183" s="14"/>
      <c r="J183" s="43"/>
      <c r="K183" s="14"/>
      <c r="L183" s="43"/>
      <c r="M183" s="14"/>
      <c r="N183" s="43"/>
      <c r="O183" s="14"/>
      <c r="P183" s="43"/>
      <c r="Q183" s="14"/>
      <c r="R183" s="43"/>
      <c r="S183" s="14"/>
      <c r="T183" s="43"/>
      <c r="U183" s="14"/>
      <c r="V183" s="43"/>
      <c r="W183" s="14"/>
      <c r="X183" s="43"/>
      <c r="Y183" s="14"/>
      <c r="Z183" s="43"/>
      <c r="AA183" s="14"/>
      <c r="AB183" s="43"/>
      <c r="AC183" s="35">
        <f t="shared" si="60"/>
        <v>0</v>
      </c>
      <c r="AD183" s="42">
        <f t="shared" si="61"/>
        <v>0</v>
      </c>
    </row>
    <row r="184" spans="5:30">
      <c r="E184" s="14"/>
      <c r="F184" s="43"/>
      <c r="G184" s="14"/>
      <c r="H184" s="43"/>
      <c r="I184" s="14"/>
      <c r="J184" s="43"/>
      <c r="K184" s="14"/>
      <c r="L184" s="43"/>
      <c r="M184" s="14"/>
      <c r="N184" s="43"/>
      <c r="O184" s="14"/>
      <c r="P184" s="43"/>
      <c r="Q184" s="14"/>
      <c r="R184" s="43"/>
      <c r="S184" s="14"/>
      <c r="T184" s="43"/>
      <c r="U184" s="14"/>
      <c r="V184" s="43"/>
      <c r="W184" s="14"/>
      <c r="X184" s="43"/>
      <c r="Y184" s="14"/>
      <c r="Z184" s="43"/>
      <c r="AA184" s="14"/>
      <c r="AB184" s="43"/>
      <c r="AC184" s="35">
        <f t="shared" si="60"/>
        <v>0</v>
      </c>
      <c r="AD184" s="42">
        <f t="shared" si="61"/>
        <v>0</v>
      </c>
    </row>
    <row r="185" spans="5:30">
      <c r="E185" s="14"/>
      <c r="F185" s="43"/>
      <c r="G185" s="14"/>
      <c r="H185" s="43"/>
      <c r="I185" s="14"/>
      <c r="J185" s="43"/>
      <c r="K185" s="14"/>
      <c r="L185" s="43"/>
      <c r="M185" s="14"/>
      <c r="N185" s="43"/>
      <c r="O185" s="14"/>
      <c r="P185" s="43"/>
      <c r="Q185" s="14"/>
      <c r="R185" s="43"/>
      <c r="S185" s="14"/>
      <c r="T185" s="43"/>
      <c r="U185" s="14"/>
      <c r="V185" s="43"/>
      <c r="W185" s="14"/>
      <c r="X185" s="43"/>
      <c r="Y185" s="14"/>
      <c r="Z185" s="43"/>
      <c r="AA185" s="14"/>
      <c r="AB185" s="43"/>
      <c r="AC185" s="35">
        <f t="shared" si="60"/>
        <v>0</v>
      </c>
      <c r="AD185" s="42">
        <f t="shared" si="61"/>
        <v>0</v>
      </c>
    </row>
    <row r="186" spans="5:30">
      <c r="E186" s="14"/>
      <c r="F186" s="43"/>
      <c r="G186" s="14"/>
      <c r="H186" s="43"/>
      <c r="I186" s="14"/>
      <c r="J186" s="43"/>
      <c r="K186" s="14"/>
      <c r="L186" s="43"/>
      <c r="M186" s="14"/>
      <c r="N186" s="43"/>
      <c r="O186" s="14"/>
      <c r="P186" s="43"/>
      <c r="Q186" s="14"/>
      <c r="R186" s="43"/>
      <c r="S186" s="14"/>
      <c r="T186" s="43"/>
      <c r="U186" s="14"/>
      <c r="V186" s="43"/>
      <c r="W186" s="14"/>
      <c r="X186" s="43"/>
      <c r="Y186" s="14"/>
      <c r="Z186" s="43"/>
      <c r="AA186" s="14"/>
      <c r="AB186" s="43"/>
      <c r="AC186" s="35">
        <f t="shared" si="60"/>
        <v>0</v>
      </c>
      <c r="AD186" s="42">
        <f t="shared" si="61"/>
        <v>0</v>
      </c>
    </row>
    <row r="187" spans="5:30">
      <c r="E187" s="14"/>
      <c r="F187" s="43"/>
      <c r="G187" s="14"/>
      <c r="H187" s="43"/>
      <c r="I187" s="14"/>
      <c r="J187" s="43"/>
      <c r="K187" s="14"/>
      <c r="L187" s="43"/>
      <c r="M187" s="14"/>
      <c r="N187" s="43"/>
      <c r="O187" s="14"/>
      <c r="P187" s="43"/>
      <c r="Q187" s="14"/>
      <c r="R187" s="43"/>
      <c r="S187" s="14"/>
      <c r="T187" s="43"/>
      <c r="U187" s="14"/>
      <c r="V187" s="43"/>
      <c r="W187" s="14"/>
      <c r="X187" s="43"/>
      <c r="Y187" s="14"/>
      <c r="Z187" s="43"/>
      <c r="AA187" s="14"/>
      <c r="AB187" s="43"/>
      <c r="AC187" s="35">
        <f t="shared" si="60"/>
        <v>0</v>
      </c>
      <c r="AD187" s="42">
        <f t="shared" si="61"/>
        <v>0</v>
      </c>
    </row>
    <row r="188" spans="5:30">
      <c r="E188" s="14"/>
      <c r="F188" s="43"/>
      <c r="G188" s="14"/>
      <c r="H188" s="43"/>
      <c r="I188" s="14"/>
      <c r="J188" s="43"/>
      <c r="K188" s="14"/>
      <c r="L188" s="43"/>
      <c r="M188" s="14"/>
      <c r="N188" s="43"/>
      <c r="O188" s="14"/>
      <c r="P188" s="43"/>
      <c r="Q188" s="14"/>
      <c r="R188" s="43"/>
      <c r="S188" s="14"/>
      <c r="T188" s="43"/>
      <c r="U188" s="14"/>
      <c r="V188" s="43"/>
      <c r="W188" s="14"/>
      <c r="X188" s="43"/>
      <c r="Y188" s="14"/>
      <c r="Z188" s="43"/>
      <c r="AA188" s="14"/>
      <c r="AB188" s="43"/>
      <c r="AC188" s="35">
        <f t="shared" si="60"/>
        <v>0</v>
      </c>
      <c r="AD188" s="42">
        <f t="shared" si="61"/>
        <v>0</v>
      </c>
    </row>
    <row r="189" spans="5:30">
      <c r="E189" s="14"/>
      <c r="F189" s="43"/>
      <c r="G189" s="14"/>
      <c r="H189" s="43"/>
      <c r="I189" s="14"/>
      <c r="J189" s="43"/>
      <c r="K189" s="14"/>
      <c r="L189" s="43"/>
      <c r="M189" s="14"/>
      <c r="N189" s="43"/>
      <c r="O189" s="14"/>
      <c r="P189" s="43"/>
      <c r="Q189" s="14"/>
      <c r="R189" s="43"/>
      <c r="S189" s="14"/>
      <c r="T189" s="43"/>
      <c r="U189" s="14"/>
      <c r="V189" s="43"/>
      <c r="W189" s="14"/>
      <c r="X189" s="43"/>
      <c r="Y189" s="14"/>
      <c r="Z189" s="43"/>
      <c r="AA189" s="14"/>
      <c r="AB189" s="43"/>
      <c r="AC189" s="35">
        <f t="shared" si="60"/>
        <v>0</v>
      </c>
      <c r="AD189" s="42">
        <f t="shared" si="61"/>
        <v>0</v>
      </c>
    </row>
    <row r="190" spans="5:30">
      <c r="E190" s="14"/>
      <c r="F190" s="43"/>
      <c r="G190" s="14"/>
      <c r="H190" s="43"/>
      <c r="I190" s="14"/>
      <c r="J190" s="43"/>
      <c r="K190" s="14"/>
      <c r="L190" s="43"/>
      <c r="M190" s="14"/>
      <c r="N190" s="43"/>
      <c r="O190" s="14"/>
      <c r="P190" s="43"/>
      <c r="Q190" s="14"/>
      <c r="R190" s="43"/>
      <c r="S190" s="14"/>
      <c r="T190" s="43"/>
      <c r="U190" s="14"/>
      <c r="V190" s="43"/>
      <c r="W190" s="14"/>
      <c r="X190" s="43"/>
      <c r="Y190" s="14"/>
      <c r="Z190" s="43"/>
      <c r="AA190" s="14"/>
      <c r="AB190" s="43"/>
      <c r="AC190" s="35">
        <f t="shared" ref="AC190:AC220" si="62">AA190+Y190+W190+U190+S190+Q190+O190+M190+K190+I190+G190+E190</f>
        <v>0</v>
      </c>
      <c r="AD190" s="42">
        <f t="shared" ref="AD190:AD220" si="63">AB190+Z190+X190+V190+T190+R190+P190+N190+L190+J190+H190+F190</f>
        <v>0</v>
      </c>
    </row>
    <row r="191" spans="5:30">
      <c r="E191" s="14"/>
      <c r="F191" s="43"/>
      <c r="G191" s="14"/>
      <c r="H191" s="43"/>
      <c r="I191" s="14"/>
      <c r="J191" s="43"/>
      <c r="K191" s="14"/>
      <c r="L191" s="43"/>
      <c r="M191" s="14"/>
      <c r="N191" s="43"/>
      <c r="O191" s="14"/>
      <c r="P191" s="43"/>
      <c r="Q191" s="14"/>
      <c r="R191" s="43"/>
      <c r="S191" s="14"/>
      <c r="T191" s="43"/>
      <c r="U191" s="14"/>
      <c r="V191" s="43"/>
      <c r="W191" s="14"/>
      <c r="X191" s="43"/>
      <c r="Y191" s="14"/>
      <c r="Z191" s="43"/>
      <c r="AA191" s="14"/>
      <c r="AB191" s="43"/>
      <c r="AC191" s="35">
        <f t="shared" si="62"/>
        <v>0</v>
      </c>
      <c r="AD191" s="42">
        <f t="shared" si="63"/>
        <v>0</v>
      </c>
    </row>
    <row r="192" spans="5:30">
      <c r="E192" s="14"/>
      <c r="F192" s="43"/>
      <c r="G192" s="14"/>
      <c r="H192" s="43"/>
      <c r="I192" s="14"/>
      <c r="J192" s="43"/>
      <c r="K192" s="14"/>
      <c r="L192" s="43"/>
      <c r="M192" s="14"/>
      <c r="N192" s="43"/>
      <c r="O192" s="14"/>
      <c r="P192" s="43"/>
      <c r="Q192" s="14"/>
      <c r="R192" s="43"/>
      <c r="S192" s="14"/>
      <c r="T192" s="43"/>
      <c r="U192" s="14"/>
      <c r="V192" s="43"/>
      <c r="W192" s="14"/>
      <c r="X192" s="43"/>
      <c r="Y192" s="14"/>
      <c r="Z192" s="43"/>
      <c r="AA192" s="14"/>
      <c r="AB192" s="43"/>
      <c r="AC192" s="35">
        <f t="shared" si="62"/>
        <v>0</v>
      </c>
      <c r="AD192" s="42">
        <f t="shared" si="63"/>
        <v>0</v>
      </c>
    </row>
    <row r="193" spans="5:30">
      <c r="E193" s="14"/>
      <c r="F193" s="43"/>
      <c r="G193" s="14"/>
      <c r="H193" s="43"/>
      <c r="I193" s="14"/>
      <c r="J193" s="43"/>
      <c r="K193" s="14"/>
      <c r="L193" s="43"/>
      <c r="M193" s="14"/>
      <c r="N193" s="43"/>
      <c r="O193" s="14"/>
      <c r="P193" s="43"/>
      <c r="Q193" s="14"/>
      <c r="R193" s="43"/>
      <c r="S193" s="14"/>
      <c r="T193" s="43"/>
      <c r="U193" s="14"/>
      <c r="V193" s="43"/>
      <c r="W193" s="14"/>
      <c r="X193" s="43"/>
      <c r="Y193" s="14"/>
      <c r="Z193" s="43"/>
      <c r="AA193" s="14"/>
      <c r="AB193" s="43"/>
      <c r="AC193" s="35">
        <f t="shared" si="62"/>
        <v>0</v>
      </c>
      <c r="AD193" s="42">
        <f t="shared" si="63"/>
        <v>0</v>
      </c>
    </row>
    <row r="194" spans="5:30">
      <c r="E194" s="14"/>
      <c r="F194" s="43"/>
      <c r="G194" s="14"/>
      <c r="H194" s="43"/>
      <c r="I194" s="14"/>
      <c r="J194" s="43"/>
      <c r="K194" s="14"/>
      <c r="L194" s="43"/>
      <c r="M194" s="14"/>
      <c r="N194" s="43"/>
      <c r="O194" s="14"/>
      <c r="P194" s="43"/>
      <c r="Q194" s="14"/>
      <c r="R194" s="43"/>
      <c r="S194" s="14"/>
      <c r="T194" s="43"/>
      <c r="U194" s="14"/>
      <c r="V194" s="43"/>
      <c r="W194" s="14"/>
      <c r="X194" s="43"/>
      <c r="Y194" s="14"/>
      <c r="Z194" s="43"/>
      <c r="AA194" s="14"/>
      <c r="AB194" s="43"/>
      <c r="AC194" s="35">
        <f t="shared" si="62"/>
        <v>0</v>
      </c>
      <c r="AD194" s="42">
        <f t="shared" si="63"/>
        <v>0</v>
      </c>
    </row>
    <row r="195" spans="5:30">
      <c r="E195" s="14"/>
      <c r="F195" s="43"/>
      <c r="G195" s="14"/>
      <c r="H195" s="43"/>
      <c r="I195" s="14"/>
      <c r="J195" s="43"/>
      <c r="K195" s="14"/>
      <c r="L195" s="43"/>
      <c r="M195" s="14"/>
      <c r="N195" s="43"/>
      <c r="O195" s="14"/>
      <c r="P195" s="43"/>
      <c r="Q195" s="14"/>
      <c r="R195" s="43"/>
      <c r="S195" s="14"/>
      <c r="T195" s="43"/>
      <c r="U195" s="14"/>
      <c r="V195" s="43"/>
      <c r="W195" s="14"/>
      <c r="X195" s="43"/>
      <c r="Y195" s="14"/>
      <c r="Z195" s="43"/>
      <c r="AA195" s="14"/>
      <c r="AB195" s="43"/>
      <c r="AC195" s="35">
        <f t="shared" si="62"/>
        <v>0</v>
      </c>
      <c r="AD195" s="42">
        <f t="shared" si="63"/>
        <v>0</v>
      </c>
    </row>
    <row r="196" spans="5:30">
      <c r="E196" s="14"/>
      <c r="F196" s="43"/>
      <c r="G196" s="14"/>
      <c r="H196" s="43"/>
      <c r="I196" s="14"/>
      <c r="J196" s="43"/>
      <c r="K196" s="14"/>
      <c r="L196" s="43"/>
      <c r="M196" s="14"/>
      <c r="N196" s="43"/>
      <c r="O196" s="14"/>
      <c r="P196" s="43"/>
      <c r="Q196" s="14"/>
      <c r="R196" s="43"/>
      <c r="S196" s="14"/>
      <c r="T196" s="43"/>
      <c r="U196" s="14"/>
      <c r="V196" s="43"/>
      <c r="W196" s="14"/>
      <c r="X196" s="43"/>
      <c r="Y196" s="14"/>
      <c r="Z196" s="43"/>
      <c r="AA196" s="14"/>
      <c r="AB196" s="43"/>
      <c r="AC196" s="35">
        <f t="shared" si="62"/>
        <v>0</v>
      </c>
      <c r="AD196" s="42">
        <f t="shared" si="63"/>
        <v>0</v>
      </c>
    </row>
    <row r="197" spans="5:30">
      <c r="E197" s="14"/>
      <c r="F197" s="43"/>
      <c r="G197" s="14"/>
      <c r="H197" s="43"/>
      <c r="I197" s="14"/>
      <c r="J197" s="43"/>
      <c r="K197" s="14"/>
      <c r="L197" s="43"/>
      <c r="M197" s="14"/>
      <c r="N197" s="43"/>
      <c r="O197" s="14"/>
      <c r="P197" s="43"/>
      <c r="Q197" s="14"/>
      <c r="R197" s="43"/>
      <c r="S197" s="14"/>
      <c r="T197" s="43"/>
      <c r="U197" s="14"/>
      <c r="V197" s="43"/>
      <c r="W197" s="14"/>
      <c r="X197" s="43"/>
      <c r="Y197" s="14"/>
      <c r="Z197" s="43"/>
      <c r="AA197" s="14"/>
      <c r="AB197" s="43"/>
      <c r="AC197" s="35">
        <f t="shared" si="62"/>
        <v>0</v>
      </c>
      <c r="AD197" s="42">
        <f t="shared" si="63"/>
        <v>0</v>
      </c>
    </row>
    <row r="198" spans="5:30">
      <c r="E198" s="14"/>
      <c r="F198" s="43"/>
      <c r="G198" s="14"/>
      <c r="H198" s="43"/>
      <c r="I198" s="14"/>
      <c r="J198" s="43"/>
      <c r="K198" s="14"/>
      <c r="L198" s="43"/>
      <c r="M198" s="14"/>
      <c r="N198" s="43"/>
      <c r="O198" s="14"/>
      <c r="P198" s="43"/>
      <c r="Q198" s="14"/>
      <c r="R198" s="43"/>
      <c r="S198" s="14"/>
      <c r="T198" s="43"/>
      <c r="U198" s="14"/>
      <c r="V198" s="43"/>
      <c r="W198" s="14"/>
      <c r="X198" s="43"/>
      <c r="Y198" s="14"/>
      <c r="Z198" s="43"/>
      <c r="AA198" s="14"/>
      <c r="AB198" s="43"/>
      <c r="AC198" s="35">
        <f t="shared" si="62"/>
        <v>0</v>
      </c>
      <c r="AD198" s="42">
        <f t="shared" si="63"/>
        <v>0</v>
      </c>
    </row>
    <row r="199" spans="5:30">
      <c r="E199" s="14"/>
      <c r="F199" s="43"/>
      <c r="G199" s="14"/>
      <c r="H199" s="43"/>
      <c r="I199" s="14"/>
      <c r="J199" s="43"/>
      <c r="K199" s="14"/>
      <c r="L199" s="43"/>
      <c r="M199" s="14"/>
      <c r="N199" s="43"/>
      <c r="O199" s="14"/>
      <c r="P199" s="43"/>
      <c r="Q199" s="14"/>
      <c r="R199" s="43"/>
      <c r="S199" s="14"/>
      <c r="T199" s="43"/>
      <c r="U199" s="14"/>
      <c r="V199" s="43"/>
      <c r="W199" s="14"/>
      <c r="X199" s="43"/>
      <c r="Y199" s="14"/>
      <c r="Z199" s="43"/>
      <c r="AA199" s="14"/>
      <c r="AB199" s="43"/>
      <c r="AC199" s="35">
        <f t="shared" si="62"/>
        <v>0</v>
      </c>
      <c r="AD199" s="42">
        <f t="shared" si="63"/>
        <v>0</v>
      </c>
    </row>
    <row r="200" spans="5:30">
      <c r="E200" s="14"/>
      <c r="F200" s="43"/>
      <c r="G200" s="14"/>
      <c r="H200" s="43"/>
      <c r="I200" s="14"/>
      <c r="J200" s="43"/>
      <c r="K200" s="14"/>
      <c r="L200" s="43"/>
      <c r="M200" s="14"/>
      <c r="N200" s="43"/>
      <c r="O200" s="14"/>
      <c r="P200" s="43"/>
      <c r="Q200" s="14"/>
      <c r="R200" s="43"/>
      <c r="S200" s="14"/>
      <c r="T200" s="43"/>
      <c r="U200" s="14"/>
      <c r="V200" s="43"/>
      <c r="W200" s="14"/>
      <c r="X200" s="43"/>
      <c r="Y200" s="14"/>
      <c r="Z200" s="43"/>
      <c r="AA200" s="14"/>
      <c r="AB200" s="43"/>
      <c r="AC200" s="35">
        <f t="shared" si="62"/>
        <v>0</v>
      </c>
      <c r="AD200" s="42">
        <f t="shared" si="63"/>
        <v>0</v>
      </c>
    </row>
    <row r="201" spans="5:30">
      <c r="E201" s="14"/>
      <c r="F201" s="43"/>
      <c r="G201" s="14"/>
      <c r="H201" s="43"/>
      <c r="I201" s="14"/>
      <c r="J201" s="43"/>
      <c r="K201" s="14"/>
      <c r="L201" s="43"/>
      <c r="M201" s="14"/>
      <c r="N201" s="43"/>
      <c r="O201" s="14"/>
      <c r="P201" s="43"/>
      <c r="Q201" s="14"/>
      <c r="R201" s="43"/>
      <c r="S201" s="14"/>
      <c r="T201" s="43"/>
      <c r="U201" s="14"/>
      <c r="V201" s="43"/>
      <c r="W201" s="14"/>
      <c r="X201" s="43"/>
      <c r="Y201" s="14"/>
      <c r="Z201" s="43"/>
      <c r="AA201" s="14"/>
      <c r="AB201" s="43"/>
      <c r="AC201" s="35">
        <f t="shared" si="62"/>
        <v>0</v>
      </c>
      <c r="AD201" s="42">
        <f t="shared" si="63"/>
        <v>0</v>
      </c>
    </row>
    <row r="202" spans="5:30">
      <c r="E202" s="14"/>
      <c r="F202" s="43"/>
      <c r="G202" s="14"/>
      <c r="H202" s="43"/>
      <c r="I202" s="14"/>
      <c r="J202" s="43"/>
      <c r="K202" s="14"/>
      <c r="L202" s="43"/>
      <c r="M202" s="14"/>
      <c r="N202" s="43"/>
      <c r="O202" s="14"/>
      <c r="P202" s="43"/>
      <c r="Q202" s="14"/>
      <c r="R202" s="43"/>
      <c r="S202" s="14"/>
      <c r="T202" s="43"/>
      <c r="U202" s="14"/>
      <c r="V202" s="43"/>
      <c r="W202" s="14"/>
      <c r="X202" s="43"/>
      <c r="Y202" s="14"/>
      <c r="Z202" s="43"/>
      <c r="AA202" s="14"/>
      <c r="AB202" s="43"/>
      <c r="AC202" s="35">
        <f t="shared" si="62"/>
        <v>0</v>
      </c>
      <c r="AD202" s="42">
        <f t="shared" si="63"/>
        <v>0</v>
      </c>
    </row>
    <row r="203" spans="5:30">
      <c r="E203" s="14"/>
      <c r="F203" s="43"/>
      <c r="G203" s="14"/>
      <c r="H203" s="43"/>
      <c r="I203" s="14"/>
      <c r="J203" s="43"/>
      <c r="K203" s="14"/>
      <c r="L203" s="43"/>
      <c r="M203" s="14"/>
      <c r="N203" s="43"/>
      <c r="O203" s="14"/>
      <c r="P203" s="43"/>
      <c r="Q203" s="14"/>
      <c r="R203" s="43"/>
      <c r="S203" s="14"/>
      <c r="T203" s="43"/>
      <c r="U203" s="14"/>
      <c r="V203" s="43"/>
      <c r="W203" s="14"/>
      <c r="X203" s="43"/>
      <c r="Y203" s="14"/>
      <c r="Z203" s="43"/>
      <c r="AA203" s="14"/>
      <c r="AB203" s="43"/>
      <c r="AC203" s="35">
        <f t="shared" si="62"/>
        <v>0</v>
      </c>
      <c r="AD203" s="42">
        <f t="shared" si="63"/>
        <v>0</v>
      </c>
    </row>
    <row r="204" spans="5:30">
      <c r="E204" s="14"/>
      <c r="F204" s="43"/>
      <c r="G204" s="14"/>
      <c r="H204" s="43"/>
      <c r="I204" s="14"/>
      <c r="J204" s="43"/>
      <c r="K204" s="14"/>
      <c r="L204" s="43"/>
      <c r="M204" s="14"/>
      <c r="N204" s="43"/>
      <c r="O204" s="14"/>
      <c r="P204" s="43"/>
      <c r="Q204" s="14"/>
      <c r="R204" s="43"/>
      <c r="S204" s="14"/>
      <c r="T204" s="43"/>
      <c r="U204" s="14"/>
      <c r="V204" s="43"/>
      <c r="W204" s="14"/>
      <c r="X204" s="43"/>
      <c r="Y204" s="14"/>
      <c r="Z204" s="43"/>
      <c r="AA204" s="14"/>
      <c r="AB204" s="43"/>
      <c r="AC204" s="35">
        <f t="shared" si="62"/>
        <v>0</v>
      </c>
      <c r="AD204" s="42">
        <f t="shared" si="63"/>
        <v>0</v>
      </c>
    </row>
    <row r="205" spans="5:30">
      <c r="E205" s="14"/>
      <c r="F205" s="43"/>
      <c r="G205" s="14"/>
      <c r="H205" s="43"/>
      <c r="I205" s="14"/>
      <c r="J205" s="43"/>
      <c r="K205" s="14"/>
      <c r="L205" s="43"/>
      <c r="M205" s="14"/>
      <c r="N205" s="43"/>
      <c r="O205" s="14"/>
      <c r="P205" s="43"/>
      <c r="Q205" s="14"/>
      <c r="R205" s="43"/>
      <c r="S205" s="14"/>
      <c r="T205" s="43"/>
      <c r="U205" s="14"/>
      <c r="V205" s="43"/>
      <c r="W205" s="14"/>
      <c r="X205" s="43"/>
      <c r="Y205" s="14"/>
      <c r="Z205" s="43"/>
      <c r="AA205" s="14"/>
      <c r="AB205" s="43"/>
      <c r="AC205" s="35">
        <f t="shared" si="62"/>
        <v>0</v>
      </c>
      <c r="AD205" s="42">
        <f t="shared" si="63"/>
        <v>0</v>
      </c>
    </row>
    <row r="206" spans="5:30">
      <c r="E206" s="14"/>
      <c r="F206" s="43"/>
      <c r="G206" s="14"/>
      <c r="H206" s="43"/>
      <c r="I206" s="14"/>
      <c r="J206" s="43"/>
      <c r="K206" s="14"/>
      <c r="L206" s="43"/>
      <c r="M206" s="14"/>
      <c r="N206" s="43"/>
      <c r="O206" s="14"/>
      <c r="P206" s="43"/>
      <c r="Q206" s="14"/>
      <c r="R206" s="43"/>
      <c r="S206" s="14"/>
      <c r="T206" s="43"/>
      <c r="U206" s="14"/>
      <c r="V206" s="43"/>
      <c r="W206" s="14"/>
      <c r="X206" s="43"/>
      <c r="Y206" s="14"/>
      <c r="Z206" s="43"/>
      <c r="AA206" s="14"/>
      <c r="AB206" s="43"/>
      <c r="AC206" s="35">
        <f t="shared" si="62"/>
        <v>0</v>
      </c>
      <c r="AD206" s="42">
        <f t="shared" si="63"/>
        <v>0</v>
      </c>
    </row>
    <row r="207" spans="5:30">
      <c r="E207" s="14"/>
      <c r="F207" s="43"/>
      <c r="G207" s="14"/>
      <c r="H207" s="43"/>
      <c r="I207" s="14"/>
      <c r="J207" s="43"/>
      <c r="K207" s="14"/>
      <c r="L207" s="43"/>
      <c r="M207" s="14"/>
      <c r="N207" s="43"/>
      <c r="O207" s="14"/>
      <c r="P207" s="43"/>
      <c r="Q207" s="14"/>
      <c r="R207" s="43"/>
      <c r="S207" s="14"/>
      <c r="T207" s="43"/>
      <c r="U207" s="14"/>
      <c r="V207" s="43"/>
      <c r="W207" s="14"/>
      <c r="X207" s="43"/>
      <c r="Y207" s="14"/>
      <c r="Z207" s="43"/>
      <c r="AA207" s="14"/>
      <c r="AB207" s="43"/>
      <c r="AC207" s="35">
        <f t="shared" si="62"/>
        <v>0</v>
      </c>
      <c r="AD207" s="42">
        <f t="shared" si="63"/>
        <v>0</v>
      </c>
    </row>
    <row r="208" spans="5:30">
      <c r="E208" s="14"/>
      <c r="F208" s="43"/>
      <c r="G208" s="14"/>
      <c r="H208" s="43"/>
      <c r="I208" s="14"/>
      <c r="J208" s="43"/>
      <c r="K208" s="14"/>
      <c r="L208" s="43"/>
      <c r="M208" s="14"/>
      <c r="N208" s="43"/>
      <c r="O208" s="14"/>
      <c r="P208" s="43"/>
      <c r="Q208" s="14"/>
      <c r="R208" s="43"/>
      <c r="S208" s="14"/>
      <c r="T208" s="43"/>
      <c r="U208" s="14"/>
      <c r="V208" s="43"/>
      <c r="W208" s="14"/>
      <c r="X208" s="43"/>
      <c r="Y208" s="14"/>
      <c r="Z208" s="43"/>
      <c r="AA208" s="14"/>
      <c r="AB208" s="43"/>
      <c r="AC208" s="35">
        <f t="shared" si="62"/>
        <v>0</v>
      </c>
      <c r="AD208" s="42">
        <f t="shared" si="63"/>
        <v>0</v>
      </c>
    </row>
    <row r="209" spans="5:30">
      <c r="E209" s="14"/>
      <c r="F209" s="43"/>
      <c r="G209" s="14"/>
      <c r="H209" s="43"/>
      <c r="I209" s="14"/>
      <c r="J209" s="43"/>
      <c r="K209" s="14"/>
      <c r="L209" s="43"/>
      <c r="M209" s="14"/>
      <c r="N209" s="43"/>
      <c r="O209" s="14"/>
      <c r="P209" s="43"/>
      <c r="Q209" s="14"/>
      <c r="R209" s="43"/>
      <c r="S209" s="14"/>
      <c r="T209" s="43"/>
      <c r="U209" s="14"/>
      <c r="V209" s="43"/>
      <c r="W209" s="14"/>
      <c r="X209" s="43"/>
      <c r="Y209" s="14"/>
      <c r="Z209" s="43"/>
      <c r="AA209" s="14"/>
      <c r="AB209" s="43"/>
      <c r="AC209" s="35">
        <f t="shared" si="62"/>
        <v>0</v>
      </c>
      <c r="AD209" s="42">
        <f t="shared" si="63"/>
        <v>0</v>
      </c>
    </row>
    <row r="210" spans="5:30">
      <c r="E210" s="14"/>
      <c r="F210" s="43"/>
      <c r="G210" s="14"/>
      <c r="H210" s="43"/>
      <c r="I210" s="14"/>
      <c r="J210" s="43"/>
      <c r="K210" s="14"/>
      <c r="L210" s="43"/>
      <c r="M210" s="14"/>
      <c r="N210" s="43"/>
      <c r="O210" s="14"/>
      <c r="P210" s="43"/>
      <c r="Q210" s="14"/>
      <c r="R210" s="43"/>
      <c r="S210" s="14"/>
      <c r="T210" s="43"/>
      <c r="U210" s="14"/>
      <c r="V210" s="43"/>
      <c r="W210" s="14"/>
      <c r="X210" s="43"/>
      <c r="Y210" s="14"/>
      <c r="Z210" s="43"/>
      <c r="AA210" s="14"/>
      <c r="AB210" s="43"/>
      <c r="AC210" s="35">
        <f t="shared" si="62"/>
        <v>0</v>
      </c>
      <c r="AD210" s="42">
        <f t="shared" si="63"/>
        <v>0</v>
      </c>
    </row>
    <row r="211" spans="5:30">
      <c r="E211" s="14"/>
      <c r="F211" s="43"/>
      <c r="G211" s="14"/>
      <c r="H211" s="43"/>
      <c r="I211" s="14"/>
      <c r="J211" s="43"/>
      <c r="K211" s="14"/>
      <c r="L211" s="43"/>
      <c r="M211" s="14"/>
      <c r="N211" s="43"/>
      <c r="O211" s="14"/>
      <c r="P211" s="43"/>
      <c r="Q211" s="14"/>
      <c r="R211" s="43"/>
      <c r="S211" s="14"/>
      <c r="T211" s="43"/>
      <c r="U211" s="14"/>
      <c r="V211" s="43"/>
      <c r="W211" s="14"/>
      <c r="X211" s="43"/>
      <c r="Y211" s="14"/>
      <c r="Z211" s="43"/>
      <c r="AA211" s="14"/>
      <c r="AB211" s="43"/>
      <c r="AC211" s="35">
        <f t="shared" si="62"/>
        <v>0</v>
      </c>
      <c r="AD211" s="42">
        <f t="shared" si="63"/>
        <v>0</v>
      </c>
    </row>
    <row r="212" spans="5:30">
      <c r="E212" s="14"/>
      <c r="F212" s="43"/>
      <c r="G212" s="14"/>
      <c r="H212" s="43"/>
      <c r="I212" s="14"/>
      <c r="J212" s="43"/>
      <c r="K212" s="14"/>
      <c r="L212" s="43"/>
      <c r="M212" s="14"/>
      <c r="N212" s="43"/>
      <c r="O212" s="14"/>
      <c r="P212" s="43"/>
      <c r="Q212" s="14"/>
      <c r="R212" s="43"/>
      <c r="S212" s="14"/>
      <c r="T212" s="43"/>
      <c r="U212" s="14"/>
      <c r="V212" s="43"/>
      <c r="W212" s="14"/>
      <c r="X212" s="43"/>
      <c r="Y212" s="14"/>
      <c r="Z212" s="43"/>
      <c r="AA212" s="14"/>
      <c r="AB212" s="43"/>
      <c r="AC212" s="35">
        <f t="shared" si="62"/>
        <v>0</v>
      </c>
      <c r="AD212" s="42">
        <f t="shared" si="63"/>
        <v>0</v>
      </c>
    </row>
    <row r="213" spans="5:30">
      <c r="E213" s="14"/>
      <c r="F213" s="43"/>
      <c r="G213" s="14"/>
      <c r="H213" s="43"/>
      <c r="I213" s="14"/>
      <c r="J213" s="43"/>
      <c r="K213" s="14"/>
      <c r="L213" s="43"/>
      <c r="M213" s="14"/>
      <c r="N213" s="43"/>
      <c r="O213" s="14"/>
      <c r="P213" s="43"/>
      <c r="Q213" s="14"/>
      <c r="R213" s="43"/>
      <c r="S213" s="14"/>
      <c r="T213" s="43"/>
      <c r="U213" s="14"/>
      <c r="V213" s="43"/>
      <c r="W213" s="14"/>
      <c r="X213" s="43"/>
      <c r="Y213" s="14"/>
      <c r="Z213" s="43"/>
      <c r="AA213" s="14"/>
      <c r="AB213" s="43"/>
      <c r="AC213" s="35">
        <f t="shared" si="62"/>
        <v>0</v>
      </c>
      <c r="AD213" s="42">
        <f t="shared" si="63"/>
        <v>0</v>
      </c>
    </row>
    <row r="214" spans="5:30">
      <c r="E214" s="14"/>
      <c r="F214" s="43"/>
      <c r="G214" s="14"/>
      <c r="H214" s="43"/>
      <c r="I214" s="14"/>
      <c r="J214" s="43"/>
      <c r="K214" s="14"/>
      <c r="L214" s="43"/>
      <c r="M214" s="14"/>
      <c r="N214" s="43"/>
      <c r="O214" s="14"/>
      <c r="P214" s="43"/>
      <c r="Q214" s="14"/>
      <c r="R214" s="43"/>
      <c r="S214" s="14"/>
      <c r="T214" s="43"/>
      <c r="U214" s="14"/>
      <c r="V214" s="43"/>
      <c r="W214" s="14"/>
      <c r="X214" s="43"/>
      <c r="Y214" s="14"/>
      <c r="Z214" s="43"/>
      <c r="AA214" s="14"/>
      <c r="AB214" s="43"/>
      <c r="AC214" s="35">
        <f t="shared" si="62"/>
        <v>0</v>
      </c>
      <c r="AD214" s="42">
        <f t="shared" si="63"/>
        <v>0</v>
      </c>
    </row>
    <row r="215" spans="5:30">
      <c r="E215" s="14"/>
      <c r="F215" s="43"/>
      <c r="G215" s="14"/>
      <c r="H215" s="43"/>
      <c r="I215" s="14"/>
      <c r="J215" s="43"/>
      <c r="K215" s="14"/>
      <c r="L215" s="43"/>
      <c r="M215" s="14"/>
      <c r="N215" s="43"/>
      <c r="O215" s="14"/>
      <c r="P215" s="43"/>
      <c r="Q215" s="14"/>
      <c r="R215" s="43"/>
      <c r="S215" s="14"/>
      <c r="T215" s="43"/>
      <c r="U215" s="14"/>
      <c r="V215" s="43"/>
      <c r="W215" s="14"/>
      <c r="X215" s="43"/>
      <c r="Y215" s="14"/>
      <c r="Z215" s="43"/>
      <c r="AA215" s="14"/>
      <c r="AB215" s="43"/>
      <c r="AC215" s="35">
        <f t="shared" si="62"/>
        <v>0</v>
      </c>
      <c r="AD215" s="42">
        <f t="shared" si="63"/>
        <v>0</v>
      </c>
    </row>
    <row r="216" spans="5:30">
      <c r="E216" s="14"/>
      <c r="F216" s="43"/>
      <c r="G216" s="14"/>
      <c r="H216" s="43"/>
      <c r="I216" s="14"/>
      <c r="J216" s="43"/>
      <c r="K216" s="14"/>
      <c r="L216" s="43"/>
      <c r="M216" s="14"/>
      <c r="N216" s="43"/>
      <c r="O216" s="14"/>
      <c r="P216" s="43"/>
      <c r="Q216" s="14"/>
      <c r="R216" s="43"/>
      <c r="S216" s="14"/>
      <c r="T216" s="43"/>
      <c r="U216" s="14"/>
      <c r="V216" s="43"/>
      <c r="W216" s="14"/>
      <c r="X216" s="43"/>
      <c r="Y216" s="14"/>
      <c r="Z216" s="43"/>
      <c r="AA216" s="14"/>
      <c r="AB216" s="43"/>
      <c r="AC216" s="35">
        <f t="shared" si="62"/>
        <v>0</v>
      </c>
      <c r="AD216" s="42">
        <f t="shared" si="63"/>
        <v>0</v>
      </c>
    </row>
    <row r="217" spans="5:30">
      <c r="E217" s="14"/>
      <c r="F217" s="43"/>
      <c r="G217" s="14"/>
      <c r="H217" s="43"/>
      <c r="I217" s="14"/>
      <c r="J217" s="43"/>
      <c r="K217" s="14"/>
      <c r="L217" s="43"/>
      <c r="M217" s="14"/>
      <c r="N217" s="43"/>
      <c r="O217" s="14"/>
      <c r="P217" s="43"/>
      <c r="Q217" s="14"/>
      <c r="R217" s="43"/>
      <c r="S217" s="14"/>
      <c r="T217" s="43"/>
      <c r="U217" s="14"/>
      <c r="V217" s="43"/>
      <c r="W217" s="14"/>
      <c r="X217" s="43"/>
      <c r="Y217" s="14"/>
      <c r="Z217" s="43"/>
      <c r="AA217" s="14"/>
      <c r="AB217" s="43"/>
      <c r="AC217" s="35">
        <f t="shared" si="62"/>
        <v>0</v>
      </c>
      <c r="AD217" s="42">
        <f t="shared" si="63"/>
        <v>0</v>
      </c>
    </row>
    <row r="218" spans="5:30">
      <c r="E218" s="14"/>
      <c r="F218" s="43"/>
      <c r="G218" s="14"/>
      <c r="H218" s="43"/>
      <c r="I218" s="14"/>
      <c r="J218" s="43"/>
      <c r="K218" s="14"/>
      <c r="L218" s="43"/>
      <c r="M218" s="14"/>
      <c r="N218" s="43"/>
      <c r="O218" s="14"/>
      <c r="P218" s="43"/>
      <c r="Q218" s="14"/>
      <c r="R218" s="43"/>
      <c r="S218" s="14"/>
      <c r="T218" s="43"/>
      <c r="U218" s="14"/>
      <c r="V218" s="43"/>
      <c r="W218" s="14"/>
      <c r="X218" s="43"/>
      <c r="Y218" s="14"/>
      <c r="Z218" s="43"/>
      <c r="AA218" s="14"/>
      <c r="AB218" s="43"/>
      <c r="AC218" s="35">
        <f t="shared" si="62"/>
        <v>0</v>
      </c>
      <c r="AD218" s="42">
        <f t="shared" si="63"/>
        <v>0</v>
      </c>
    </row>
    <row r="219" spans="5:30">
      <c r="E219" s="14"/>
      <c r="F219" s="43"/>
      <c r="G219" s="14"/>
      <c r="H219" s="43"/>
      <c r="I219" s="14"/>
      <c r="J219" s="43"/>
      <c r="K219" s="14"/>
      <c r="L219" s="43"/>
      <c r="M219" s="14"/>
      <c r="N219" s="43"/>
      <c r="O219" s="14"/>
      <c r="P219" s="43"/>
      <c r="Q219" s="14"/>
      <c r="R219" s="43"/>
      <c r="S219" s="14"/>
      <c r="T219" s="43"/>
      <c r="U219" s="14"/>
      <c r="V219" s="43"/>
      <c r="W219" s="14"/>
      <c r="X219" s="43"/>
      <c r="Y219" s="14"/>
      <c r="Z219" s="43"/>
      <c r="AA219" s="14"/>
      <c r="AB219" s="43"/>
      <c r="AC219" s="35">
        <f t="shared" si="62"/>
        <v>0</v>
      </c>
      <c r="AD219" s="42">
        <f t="shared" si="63"/>
        <v>0</v>
      </c>
    </row>
    <row r="220" spans="5:30">
      <c r="E220" s="14"/>
      <c r="F220" s="43"/>
      <c r="G220" s="14"/>
      <c r="H220" s="43"/>
      <c r="I220" s="14"/>
      <c r="J220" s="43"/>
      <c r="K220" s="14"/>
      <c r="L220" s="43"/>
      <c r="M220" s="14"/>
      <c r="N220" s="43"/>
      <c r="O220" s="14"/>
      <c r="P220" s="43"/>
      <c r="Q220" s="14"/>
      <c r="R220" s="43"/>
      <c r="S220" s="14"/>
      <c r="T220" s="43"/>
      <c r="U220" s="14"/>
      <c r="V220" s="43"/>
      <c r="W220" s="14"/>
      <c r="X220" s="43"/>
      <c r="Y220" s="14"/>
      <c r="Z220" s="43"/>
      <c r="AA220" s="14"/>
      <c r="AB220" s="43"/>
      <c r="AC220" s="35">
        <f t="shared" si="62"/>
        <v>0</v>
      </c>
      <c r="AD220" s="42">
        <f t="shared" si="63"/>
        <v>0</v>
      </c>
    </row>
    <row r="221" spans="5:30">
      <c r="E221" s="14"/>
      <c r="F221" s="43"/>
      <c r="G221" s="14"/>
      <c r="H221" s="43"/>
      <c r="I221" s="14"/>
      <c r="J221" s="43"/>
      <c r="K221" s="14"/>
      <c r="L221" s="43"/>
      <c r="M221" s="14"/>
      <c r="N221" s="43"/>
      <c r="O221" s="14"/>
      <c r="P221" s="43"/>
      <c r="Q221" s="14"/>
      <c r="R221" s="43"/>
      <c r="S221" s="14"/>
      <c r="T221" s="43"/>
      <c r="U221" s="14"/>
      <c r="V221" s="43"/>
      <c r="W221" s="14"/>
      <c r="X221" s="43"/>
      <c r="Y221" s="14"/>
      <c r="Z221" s="43"/>
      <c r="AA221" s="14"/>
      <c r="AB221" s="43"/>
      <c r="AC221" s="35">
        <f t="shared" ref="AC221:AC284" si="64">AA221+Y221+W221+U221+S221+Q221+O221+M221+K221+I221+G221+E221</f>
        <v>0</v>
      </c>
      <c r="AD221" s="42">
        <f t="shared" ref="AD221:AD284" si="65">AB221+Z221+X221+V221+T221+R221+P221+N221+L221+J221+H221+F221</f>
        <v>0</v>
      </c>
    </row>
    <row r="222" spans="5:30">
      <c r="E222" s="14"/>
      <c r="F222" s="43"/>
      <c r="G222" s="14"/>
      <c r="H222" s="43"/>
      <c r="I222" s="14"/>
      <c r="J222" s="43"/>
      <c r="K222" s="14"/>
      <c r="L222" s="43"/>
      <c r="M222" s="14"/>
      <c r="N222" s="43"/>
      <c r="O222" s="14"/>
      <c r="P222" s="43"/>
      <c r="Q222" s="14"/>
      <c r="R222" s="43"/>
      <c r="S222" s="14"/>
      <c r="T222" s="43"/>
      <c r="U222" s="14"/>
      <c r="V222" s="43"/>
      <c r="W222" s="14"/>
      <c r="X222" s="43"/>
      <c r="Y222" s="14"/>
      <c r="Z222" s="43"/>
      <c r="AA222" s="14"/>
      <c r="AB222" s="43"/>
      <c r="AC222" s="35">
        <f t="shared" si="64"/>
        <v>0</v>
      </c>
      <c r="AD222" s="42">
        <f t="shared" si="65"/>
        <v>0</v>
      </c>
    </row>
    <row r="223" spans="5:30">
      <c r="E223" s="14"/>
      <c r="F223" s="43"/>
      <c r="G223" s="14"/>
      <c r="H223" s="43"/>
      <c r="I223" s="14"/>
      <c r="J223" s="43"/>
      <c r="K223" s="14"/>
      <c r="L223" s="43"/>
      <c r="M223" s="14"/>
      <c r="N223" s="43"/>
      <c r="O223" s="14"/>
      <c r="P223" s="43"/>
      <c r="Q223" s="14"/>
      <c r="R223" s="43"/>
      <c r="S223" s="14"/>
      <c r="T223" s="43"/>
      <c r="U223" s="14"/>
      <c r="V223" s="43"/>
      <c r="W223" s="14"/>
      <c r="X223" s="43"/>
      <c r="Y223" s="14"/>
      <c r="Z223" s="43"/>
      <c r="AA223" s="14"/>
      <c r="AB223" s="43"/>
      <c r="AC223" s="35">
        <f t="shared" si="64"/>
        <v>0</v>
      </c>
      <c r="AD223" s="42">
        <f t="shared" si="65"/>
        <v>0</v>
      </c>
    </row>
    <row r="224" spans="5:30">
      <c r="E224" s="14"/>
      <c r="F224" s="43"/>
      <c r="G224" s="14"/>
      <c r="H224" s="43"/>
      <c r="I224" s="14"/>
      <c r="J224" s="43"/>
      <c r="K224" s="14"/>
      <c r="L224" s="43"/>
      <c r="M224" s="14"/>
      <c r="N224" s="43"/>
      <c r="O224" s="14"/>
      <c r="P224" s="43"/>
      <c r="Q224" s="14"/>
      <c r="R224" s="43"/>
      <c r="S224" s="14"/>
      <c r="T224" s="43"/>
      <c r="U224" s="14"/>
      <c r="V224" s="43"/>
      <c r="W224" s="14"/>
      <c r="X224" s="43"/>
      <c r="Y224" s="14"/>
      <c r="Z224" s="43"/>
      <c r="AA224" s="14"/>
      <c r="AB224" s="43"/>
      <c r="AC224" s="35">
        <f t="shared" si="64"/>
        <v>0</v>
      </c>
      <c r="AD224" s="42">
        <f t="shared" si="65"/>
        <v>0</v>
      </c>
    </row>
    <row r="225" spans="5:30">
      <c r="E225" s="14"/>
      <c r="F225" s="43"/>
      <c r="G225" s="14"/>
      <c r="H225" s="43"/>
      <c r="I225" s="14"/>
      <c r="J225" s="43"/>
      <c r="K225" s="14"/>
      <c r="L225" s="43"/>
      <c r="M225" s="14"/>
      <c r="N225" s="43"/>
      <c r="O225" s="14"/>
      <c r="P225" s="43"/>
      <c r="Q225" s="14"/>
      <c r="R225" s="43"/>
      <c r="S225" s="14"/>
      <c r="T225" s="43"/>
      <c r="U225" s="14"/>
      <c r="V225" s="43"/>
      <c r="W225" s="14"/>
      <c r="X225" s="43"/>
      <c r="Y225" s="14"/>
      <c r="Z225" s="43"/>
      <c r="AA225" s="14"/>
      <c r="AB225" s="43"/>
      <c r="AC225" s="35">
        <f t="shared" si="64"/>
        <v>0</v>
      </c>
      <c r="AD225" s="42">
        <f t="shared" si="65"/>
        <v>0</v>
      </c>
    </row>
    <row r="226" spans="5:30">
      <c r="E226" s="14"/>
      <c r="F226" s="43"/>
      <c r="G226" s="14"/>
      <c r="H226" s="43"/>
      <c r="I226" s="14"/>
      <c r="J226" s="43"/>
      <c r="K226" s="14"/>
      <c r="L226" s="43"/>
      <c r="M226" s="14"/>
      <c r="N226" s="43"/>
      <c r="O226" s="14"/>
      <c r="P226" s="43"/>
      <c r="Q226" s="14"/>
      <c r="R226" s="43"/>
      <c r="S226" s="14"/>
      <c r="T226" s="43"/>
      <c r="U226" s="14"/>
      <c r="V226" s="43"/>
      <c r="W226" s="14"/>
      <c r="X226" s="43"/>
      <c r="Y226" s="14"/>
      <c r="Z226" s="43"/>
      <c r="AA226" s="14"/>
      <c r="AB226" s="43"/>
      <c r="AC226" s="35">
        <f t="shared" si="64"/>
        <v>0</v>
      </c>
      <c r="AD226" s="42">
        <f t="shared" si="65"/>
        <v>0</v>
      </c>
    </row>
    <row r="227" spans="5:30">
      <c r="E227" s="14"/>
      <c r="F227" s="43"/>
      <c r="G227" s="14"/>
      <c r="H227" s="43"/>
      <c r="I227" s="14"/>
      <c r="J227" s="43"/>
      <c r="K227" s="14"/>
      <c r="L227" s="43"/>
      <c r="M227" s="14"/>
      <c r="N227" s="43"/>
      <c r="O227" s="14"/>
      <c r="P227" s="43"/>
      <c r="Q227" s="14"/>
      <c r="R227" s="43"/>
      <c r="S227" s="14"/>
      <c r="T227" s="43"/>
      <c r="U227" s="14"/>
      <c r="V227" s="43"/>
      <c r="W227" s="14"/>
      <c r="X227" s="43"/>
      <c r="Y227" s="14"/>
      <c r="Z227" s="43"/>
      <c r="AA227" s="14"/>
      <c r="AB227" s="43"/>
      <c r="AC227" s="35">
        <f t="shared" si="64"/>
        <v>0</v>
      </c>
      <c r="AD227" s="42">
        <f t="shared" si="65"/>
        <v>0</v>
      </c>
    </row>
    <row r="228" spans="5:30">
      <c r="E228" s="14"/>
      <c r="F228" s="43"/>
      <c r="G228" s="14"/>
      <c r="H228" s="43"/>
      <c r="I228" s="14"/>
      <c r="J228" s="43"/>
      <c r="K228" s="14"/>
      <c r="L228" s="43"/>
      <c r="M228" s="14"/>
      <c r="N228" s="43"/>
      <c r="O228" s="14"/>
      <c r="P228" s="43"/>
      <c r="Q228" s="14"/>
      <c r="R228" s="43"/>
      <c r="S228" s="14"/>
      <c r="T228" s="43"/>
      <c r="U228" s="14"/>
      <c r="V228" s="43"/>
      <c r="W228" s="14"/>
      <c r="X228" s="43"/>
      <c r="Y228" s="14"/>
      <c r="Z228" s="43"/>
      <c r="AA228" s="14"/>
      <c r="AB228" s="43"/>
      <c r="AC228" s="35">
        <f t="shared" si="64"/>
        <v>0</v>
      </c>
      <c r="AD228" s="42">
        <f t="shared" si="65"/>
        <v>0</v>
      </c>
    </row>
    <row r="229" spans="5:30">
      <c r="E229" s="14"/>
      <c r="F229" s="43"/>
      <c r="G229" s="14"/>
      <c r="H229" s="43"/>
      <c r="I229" s="14"/>
      <c r="J229" s="43"/>
      <c r="K229" s="14"/>
      <c r="L229" s="43"/>
      <c r="M229" s="14"/>
      <c r="N229" s="43"/>
      <c r="O229" s="14"/>
      <c r="P229" s="43"/>
      <c r="Q229" s="14"/>
      <c r="R229" s="43"/>
      <c r="S229" s="14"/>
      <c r="T229" s="43"/>
      <c r="U229" s="14"/>
      <c r="V229" s="43"/>
      <c r="W229" s="14"/>
      <c r="X229" s="43"/>
      <c r="Y229" s="14"/>
      <c r="Z229" s="43"/>
      <c r="AA229" s="14"/>
      <c r="AB229" s="43"/>
      <c r="AC229" s="35">
        <f t="shared" si="64"/>
        <v>0</v>
      </c>
      <c r="AD229" s="42">
        <f t="shared" si="65"/>
        <v>0</v>
      </c>
    </row>
    <row r="230" spans="5:30">
      <c r="E230" s="14"/>
      <c r="F230" s="43"/>
      <c r="G230" s="14"/>
      <c r="H230" s="43"/>
      <c r="I230" s="14"/>
      <c r="J230" s="43"/>
      <c r="K230" s="14"/>
      <c r="L230" s="43"/>
      <c r="M230" s="14"/>
      <c r="N230" s="43"/>
      <c r="O230" s="14"/>
      <c r="P230" s="43"/>
      <c r="Q230" s="14"/>
      <c r="R230" s="43"/>
      <c r="S230" s="14"/>
      <c r="T230" s="43"/>
      <c r="U230" s="14"/>
      <c r="V230" s="43"/>
      <c r="W230" s="14"/>
      <c r="X230" s="43"/>
      <c r="Y230" s="14"/>
      <c r="Z230" s="43"/>
      <c r="AA230" s="14"/>
      <c r="AB230" s="43"/>
      <c r="AC230" s="35">
        <f t="shared" si="64"/>
        <v>0</v>
      </c>
      <c r="AD230" s="42">
        <f t="shared" si="65"/>
        <v>0</v>
      </c>
    </row>
    <row r="231" spans="5:30">
      <c r="E231" s="14"/>
      <c r="F231" s="43"/>
      <c r="G231" s="14"/>
      <c r="H231" s="43"/>
      <c r="I231" s="14"/>
      <c r="J231" s="43"/>
      <c r="K231" s="14"/>
      <c r="L231" s="43"/>
      <c r="M231" s="14"/>
      <c r="N231" s="43"/>
      <c r="O231" s="14"/>
      <c r="P231" s="43"/>
      <c r="Q231" s="14"/>
      <c r="R231" s="43"/>
      <c r="S231" s="14"/>
      <c r="T231" s="43"/>
      <c r="U231" s="14"/>
      <c r="V231" s="43"/>
      <c r="W231" s="14"/>
      <c r="X231" s="43"/>
      <c r="Y231" s="14"/>
      <c r="Z231" s="43"/>
      <c r="AA231" s="14"/>
      <c r="AB231" s="43"/>
      <c r="AC231" s="35">
        <f t="shared" si="64"/>
        <v>0</v>
      </c>
      <c r="AD231" s="42">
        <f t="shared" si="65"/>
        <v>0</v>
      </c>
    </row>
    <row r="232" spans="5:30">
      <c r="E232" s="14"/>
      <c r="F232" s="43"/>
      <c r="G232" s="14"/>
      <c r="H232" s="43"/>
      <c r="I232" s="14"/>
      <c r="J232" s="43"/>
      <c r="K232" s="14"/>
      <c r="L232" s="43"/>
      <c r="M232" s="14"/>
      <c r="N232" s="43"/>
      <c r="O232" s="14"/>
      <c r="P232" s="43"/>
      <c r="Q232" s="14"/>
      <c r="R232" s="43"/>
      <c r="S232" s="14"/>
      <c r="T232" s="43"/>
      <c r="U232" s="14"/>
      <c r="V232" s="43"/>
      <c r="W232" s="14"/>
      <c r="X232" s="43"/>
      <c r="Y232" s="14"/>
      <c r="Z232" s="43"/>
      <c r="AA232" s="14"/>
      <c r="AB232" s="43"/>
      <c r="AC232" s="35">
        <f t="shared" si="64"/>
        <v>0</v>
      </c>
      <c r="AD232" s="42">
        <f t="shared" si="65"/>
        <v>0</v>
      </c>
    </row>
    <row r="233" spans="5:30">
      <c r="E233" s="14"/>
      <c r="F233" s="43"/>
      <c r="G233" s="14"/>
      <c r="H233" s="43"/>
      <c r="I233" s="14"/>
      <c r="J233" s="43"/>
      <c r="K233" s="14"/>
      <c r="L233" s="43"/>
      <c r="M233" s="14"/>
      <c r="N233" s="43"/>
      <c r="O233" s="14"/>
      <c r="P233" s="43"/>
      <c r="Q233" s="14"/>
      <c r="R233" s="43"/>
      <c r="S233" s="14"/>
      <c r="T233" s="43"/>
      <c r="U233" s="14"/>
      <c r="V233" s="43"/>
      <c r="W233" s="14"/>
      <c r="X233" s="43"/>
      <c r="Y233" s="14"/>
      <c r="Z233" s="43"/>
      <c r="AA233" s="14"/>
      <c r="AB233" s="43"/>
      <c r="AC233" s="35">
        <f t="shared" si="64"/>
        <v>0</v>
      </c>
      <c r="AD233" s="42">
        <f t="shared" si="65"/>
        <v>0</v>
      </c>
    </row>
    <row r="234" spans="5:30">
      <c r="E234" s="14"/>
      <c r="F234" s="43"/>
      <c r="G234" s="14"/>
      <c r="H234" s="43"/>
      <c r="I234" s="14"/>
      <c r="J234" s="43"/>
      <c r="K234" s="14"/>
      <c r="L234" s="43"/>
      <c r="M234" s="14"/>
      <c r="N234" s="43"/>
      <c r="O234" s="14"/>
      <c r="P234" s="43"/>
      <c r="Q234" s="14"/>
      <c r="R234" s="43"/>
      <c r="S234" s="14"/>
      <c r="T234" s="43"/>
      <c r="U234" s="14"/>
      <c r="V234" s="43"/>
      <c r="W234" s="14"/>
      <c r="X234" s="43"/>
      <c r="Y234" s="14"/>
      <c r="Z234" s="43"/>
      <c r="AA234" s="14"/>
      <c r="AB234" s="43"/>
      <c r="AC234" s="35">
        <f t="shared" si="64"/>
        <v>0</v>
      </c>
      <c r="AD234" s="42">
        <f t="shared" si="65"/>
        <v>0</v>
      </c>
    </row>
    <row r="235" spans="5:30">
      <c r="E235" s="14"/>
      <c r="F235" s="43"/>
      <c r="G235" s="14"/>
      <c r="H235" s="43"/>
      <c r="I235" s="14"/>
      <c r="J235" s="43"/>
      <c r="K235" s="14"/>
      <c r="L235" s="43"/>
      <c r="M235" s="14"/>
      <c r="N235" s="43"/>
      <c r="O235" s="14"/>
      <c r="P235" s="43"/>
      <c r="Q235" s="14"/>
      <c r="R235" s="43"/>
      <c r="S235" s="14"/>
      <c r="T235" s="43"/>
      <c r="U235" s="14"/>
      <c r="V235" s="43"/>
      <c r="W235" s="14"/>
      <c r="X235" s="43"/>
      <c r="Y235" s="14"/>
      <c r="Z235" s="43"/>
      <c r="AA235" s="14"/>
      <c r="AB235" s="43"/>
      <c r="AC235" s="35">
        <f t="shared" si="64"/>
        <v>0</v>
      </c>
      <c r="AD235" s="42">
        <f t="shared" si="65"/>
        <v>0</v>
      </c>
    </row>
    <row r="236" spans="5:30">
      <c r="E236" s="14"/>
      <c r="F236" s="43"/>
      <c r="G236" s="14"/>
      <c r="H236" s="43"/>
      <c r="I236" s="14"/>
      <c r="J236" s="43"/>
      <c r="K236" s="14"/>
      <c r="L236" s="43"/>
      <c r="M236" s="14"/>
      <c r="N236" s="43"/>
      <c r="O236" s="14"/>
      <c r="P236" s="43"/>
      <c r="Q236" s="14"/>
      <c r="R236" s="43"/>
      <c r="S236" s="14"/>
      <c r="T236" s="43"/>
      <c r="U236" s="14"/>
      <c r="V236" s="43"/>
      <c r="W236" s="14"/>
      <c r="X236" s="43"/>
      <c r="Y236" s="14"/>
      <c r="Z236" s="43"/>
      <c r="AA236" s="14"/>
      <c r="AB236" s="43"/>
      <c r="AC236" s="35">
        <f t="shared" si="64"/>
        <v>0</v>
      </c>
      <c r="AD236" s="42">
        <f t="shared" si="65"/>
        <v>0</v>
      </c>
    </row>
    <row r="237" spans="5:30">
      <c r="E237" s="14"/>
      <c r="F237" s="43"/>
      <c r="G237" s="14"/>
      <c r="H237" s="43"/>
      <c r="I237" s="14"/>
      <c r="J237" s="43"/>
      <c r="K237" s="14"/>
      <c r="L237" s="43"/>
      <c r="M237" s="14"/>
      <c r="N237" s="43"/>
      <c r="O237" s="14"/>
      <c r="P237" s="43"/>
      <c r="Q237" s="14"/>
      <c r="R237" s="43"/>
      <c r="S237" s="14"/>
      <c r="T237" s="43"/>
      <c r="U237" s="14"/>
      <c r="V237" s="43"/>
      <c r="W237" s="14"/>
      <c r="X237" s="43"/>
      <c r="Y237" s="14"/>
      <c r="Z237" s="43"/>
      <c r="AA237" s="14"/>
      <c r="AB237" s="43"/>
      <c r="AC237" s="35">
        <f t="shared" si="64"/>
        <v>0</v>
      </c>
      <c r="AD237" s="42">
        <f t="shared" si="65"/>
        <v>0</v>
      </c>
    </row>
    <row r="238" spans="5:30">
      <c r="E238" s="14"/>
      <c r="F238" s="43"/>
      <c r="G238" s="14"/>
      <c r="H238" s="43"/>
      <c r="I238" s="14"/>
      <c r="J238" s="43"/>
      <c r="K238" s="14"/>
      <c r="L238" s="43"/>
      <c r="M238" s="14"/>
      <c r="N238" s="43"/>
      <c r="O238" s="14"/>
      <c r="P238" s="43"/>
      <c r="Q238" s="14"/>
      <c r="R238" s="43"/>
      <c r="S238" s="14"/>
      <c r="T238" s="43"/>
      <c r="U238" s="14"/>
      <c r="V238" s="43"/>
      <c r="W238" s="14"/>
      <c r="X238" s="43"/>
      <c r="Y238" s="14"/>
      <c r="Z238" s="43"/>
      <c r="AA238" s="14"/>
      <c r="AB238" s="43"/>
      <c r="AC238" s="35">
        <f t="shared" si="64"/>
        <v>0</v>
      </c>
      <c r="AD238" s="42">
        <f t="shared" si="65"/>
        <v>0</v>
      </c>
    </row>
    <row r="239" spans="5:30">
      <c r="E239" s="14"/>
      <c r="F239" s="43"/>
      <c r="G239" s="14"/>
      <c r="H239" s="43"/>
      <c r="I239" s="14"/>
      <c r="J239" s="43"/>
      <c r="K239" s="14"/>
      <c r="L239" s="43"/>
      <c r="M239" s="14"/>
      <c r="N239" s="43"/>
      <c r="O239" s="14"/>
      <c r="P239" s="43"/>
      <c r="Q239" s="14"/>
      <c r="R239" s="43"/>
      <c r="S239" s="14"/>
      <c r="T239" s="43"/>
      <c r="U239" s="14"/>
      <c r="V239" s="43"/>
      <c r="W239" s="14"/>
      <c r="X239" s="43"/>
      <c r="Y239" s="14"/>
      <c r="Z239" s="43"/>
      <c r="AA239" s="14"/>
      <c r="AB239" s="43"/>
      <c r="AC239" s="35">
        <f t="shared" si="64"/>
        <v>0</v>
      </c>
      <c r="AD239" s="42">
        <f t="shared" si="65"/>
        <v>0</v>
      </c>
    </row>
    <row r="240" spans="5:30">
      <c r="E240" s="14"/>
      <c r="F240" s="43"/>
      <c r="G240" s="14"/>
      <c r="H240" s="43"/>
      <c r="I240" s="14"/>
      <c r="J240" s="43"/>
      <c r="K240" s="14"/>
      <c r="L240" s="43"/>
      <c r="M240" s="14"/>
      <c r="N240" s="43"/>
      <c r="O240" s="14"/>
      <c r="P240" s="43"/>
      <c r="Q240" s="14"/>
      <c r="R240" s="43"/>
      <c r="S240" s="14"/>
      <c r="T240" s="43"/>
      <c r="U240" s="14"/>
      <c r="V240" s="43"/>
      <c r="W240" s="14"/>
      <c r="X240" s="43"/>
      <c r="Y240" s="14"/>
      <c r="Z240" s="43"/>
      <c r="AA240" s="14"/>
      <c r="AB240" s="43"/>
      <c r="AC240" s="35">
        <f t="shared" si="64"/>
        <v>0</v>
      </c>
      <c r="AD240" s="42">
        <f t="shared" si="65"/>
        <v>0</v>
      </c>
    </row>
    <row r="241" spans="5:30">
      <c r="E241" s="14"/>
      <c r="F241" s="43"/>
      <c r="G241" s="14"/>
      <c r="H241" s="43"/>
      <c r="I241" s="14"/>
      <c r="J241" s="43"/>
      <c r="K241" s="14"/>
      <c r="L241" s="43"/>
      <c r="M241" s="14"/>
      <c r="N241" s="43"/>
      <c r="O241" s="14"/>
      <c r="P241" s="43"/>
      <c r="Q241" s="14"/>
      <c r="R241" s="43"/>
      <c r="S241" s="14"/>
      <c r="T241" s="43"/>
      <c r="U241" s="14"/>
      <c r="V241" s="43"/>
      <c r="W241" s="14"/>
      <c r="X241" s="43"/>
      <c r="Y241" s="14"/>
      <c r="Z241" s="43"/>
      <c r="AA241" s="14"/>
      <c r="AB241" s="43"/>
      <c r="AC241" s="35">
        <f t="shared" si="64"/>
        <v>0</v>
      </c>
      <c r="AD241" s="42">
        <f t="shared" si="65"/>
        <v>0</v>
      </c>
    </row>
    <row r="242" spans="5:30">
      <c r="E242" s="14"/>
      <c r="F242" s="43"/>
      <c r="G242" s="14"/>
      <c r="H242" s="43"/>
      <c r="I242" s="14"/>
      <c r="J242" s="43"/>
      <c r="K242" s="14"/>
      <c r="L242" s="43"/>
      <c r="M242" s="14"/>
      <c r="N242" s="43"/>
      <c r="O242" s="14"/>
      <c r="P242" s="43"/>
      <c r="Q242" s="14"/>
      <c r="R242" s="43"/>
      <c r="S242" s="14"/>
      <c r="T242" s="43"/>
      <c r="U242" s="14"/>
      <c r="V242" s="43"/>
      <c r="W242" s="14"/>
      <c r="X242" s="43"/>
      <c r="Y242" s="14"/>
      <c r="Z242" s="43"/>
      <c r="AA242" s="14"/>
      <c r="AB242" s="43"/>
      <c r="AC242" s="35">
        <f t="shared" si="64"/>
        <v>0</v>
      </c>
      <c r="AD242" s="42">
        <f t="shared" si="65"/>
        <v>0</v>
      </c>
    </row>
    <row r="243" spans="5:30">
      <c r="E243" s="14"/>
      <c r="F243" s="43"/>
      <c r="G243" s="14"/>
      <c r="H243" s="43"/>
      <c r="I243" s="14"/>
      <c r="J243" s="43"/>
      <c r="K243" s="14"/>
      <c r="L243" s="43"/>
      <c r="M243" s="14"/>
      <c r="N243" s="43"/>
      <c r="O243" s="14"/>
      <c r="P243" s="43"/>
      <c r="Q243" s="14"/>
      <c r="R243" s="43"/>
      <c r="S243" s="14"/>
      <c r="T243" s="43"/>
      <c r="U243" s="14"/>
      <c r="V243" s="43"/>
      <c r="W243" s="14"/>
      <c r="X243" s="43"/>
      <c r="Y243" s="14"/>
      <c r="Z243" s="43"/>
      <c r="AA243" s="14"/>
      <c r="AB243" s="43"/>
      <c r="AC243" s="35">
        <f t="shared" si="64"/>
        <v>0</v>
      </c>
      <c r="AD243" s="42">
        <f t="shared" si="65"/>
        <v>0</v>
      </c>
    </row>
    <row r="244" spans="5:30">
      <c r="E244" s="14"/>
      <c r="F244" s="43"/>
      <c r="G244" s="14"/>
      <c r="H244" s="43"/>
      <c r="I244" s="14"/>
      <c r="J244" s="43"/>
      <c r="K244" s="14"/>
      <c r="L244" s="43"/>
      <c r="M244" s="14"/>
      <c r="N244" s="43"/>
      <c r="O244" s="14"/>
      <c r="P244" s="43"/>
      <c r="Q244" s="14"/>
      <c r="R244" s="43"/>
      <c r="S244" s="14"/>
      <c r="T244" s="43"/>
      <c r="U244" s="14"/>
      <c r="V244" s="43"/>
      <c r="W244" s="14"/>
      <c r="X244" s="43"/>
      <c r="Y244" s="14"/>
      <c r="Z244" s="43"/>
      <c r="AA244" s="14"/>
      <c r="AB244" s="43"/>
      <c r="AC244" s="35">
        <f t="shared" si="64"/>
        <v>0</v>
      </c>
      <c r="AD244" s="42">
        <f t="shared" si="65"/>
        <v>0</v>
      </c>
    </row>
    <row r="245" spans="5:30">
      <c r="E245" s="14"/>
      <c r="F245" s="43"/>
      <c r="G245" s="14"/>
      <c r="H245" s="43"/>
      <c r="I245" s="14"/>
      <c r="J245" s="43"/>
      <c r="K245" s="14"/>
      <c r="L245" s="43"/>
      <c r="M245" s="14"/>
      <c r="N245" s="43"/>
      <c r="O245" s="14"/>
      <c r="P245" s="43"/>
      <c r="Q245" s="14"/>
      <c r="R245" s="43"/>
      <c r="S245" s="14"/>
      <c r="T245" s="43"/>
      <c r="U245" s="14"/>
      <c r="V245" s="43"/>
      <c r="W245" s="14"/>
      <c r="X245" s="43"/>
      <c r="Y245" s="14"/>
      <c r="Z245" s="43"/>
      <c r="AA245" s="14"/>
      <c r="AB245" s="43"/>
      <c r="AC245" s="35">
        <f t="shared" si="64"/>
        <v>0</v>
      </c>
      <c r="AD245" s="42">
        <f t="shared" si="65"/>
        <v>0</v>
      </c>
    </row>
    <row r="246" spans="5:30">
      <c r="E246" s="14"/>
      <c r="F246" s="43"/>
      <c r="G246" s="14"/>
      <c r="H246" s="43"/>
      <c r="I246" s="14"/>
      <c r="J246" s="43"/>
      <c r="K246" s="14"/>
      <c r="L246" s="43"/>
      <c r="M246" s="14"/>
      <c r="N246" s="43"/>
      <c r="O246" s="14"/>
      <c r="P246" s="43"/>
      <c r="Q246" s="14"/>
      <c r="R246" s="43"/>
      <c r="S246" s="14"/>
      <c r="T246" s="43"/>
      <c r="U246" s="14"/>
      <c r="V246" s="43"/>
      <c r="W246" s="14"/>
      <c r="X246" s="43"/>
      <c r="Y246" s="14"/>
      <c r="Z246" s="43"/>
      <c r="AA246" s="14"/>
      <c r="AB246" s="43"/>
      <c r="AC246" s="35">
        <f t="shared" si="64"/>
        <v>0</v>
      </c>
      <c r="AD246" s="42">
        <f t="shared" si="65"/>
        <v>0</v>
      </c>
    </row>
    <row r="247" spans="5:30">
      <c r="E247" s="14"/>
      <c r="F247" s="43"/>
      <c r="G247" s="14"/>
      <c r="H247" s="43"/>
      <c r="I247" s="14"/>
      <c r="J247" s="43"/>
      <c r="K247" s="14"/>
      <c r="L247" s="43"/>
      <c r="M247" s="14"/>
      <c r="N247" s="43"/>
      <c r="O247" s="14"/>
      <c r="P247" s="43"/>
      <c r="Q247" s="14"/>
      <c r="R247" s="43"/>
      <c r="S247" s="14"/>
      <c r="T247" s="43"/>
      <c r="U247" s="14"/>
      <c r="V247" s="43"/>
      <c r="W247" s="14"/>
      <c r="X247" s="43"/>
      <c r="Y247" s="14"/>
      <c r="Z247" s="43"/>
      <c r="AA247" s="14"/>
      <c r="AB247" s="43"/>
      <c r="AC247" s="35">
        <f t="shared" si="64"/>
        <v>0</v>
      </c>
      <c r="AD247" s="42">
        <f t="shared" si="65"/>
        <v>0</v>
      </c>
    </row>
    <row r="248" spans="5:30">
      <c r="E248" s="14"/>
      <c r="F248" s="43"/>
      <c r="G248" s="14"/>
      <c r="H248" s="43"/>
      <c r="I248" s="14"/>
      <c r="J248" s="43"/>
      <c r="K248" s="14"/>
      <c r="L248" s="43"/>
      <c r="M248" s="14"/>
      <c r="N248" s="43"/>
      <c r="O248" s="14"/>
      <c r="P248" s="43"/>
      <c r="Q248" s="14"/>
      <c r="R248" s="43"/>
      <c r="S248" s="14"/>
      <c r="T248" s="43"/>
      <c r="U248" s="14"/>
      <c r="V248" s="43"/>
      <c r="W248" s="14"/>
      <c r="X248" s="43"/>
      <c r="Y248" s="14"/>
      <c r="Z248" s="43"/>
      <c r="AA248" s="14"/>
      <c r="AB248" s="43"/>
      <c r="AC248" s="35">
        <f t="shared" si="64"/>
        <v>0</v>
      </c>
      <c r="AD248" s="42">
        <f t="shared" si="65"/>
        <v>0</v>
      </c>
    </row>
    <row r="249" spans="5:30">
      <c r="AC249" s="35">
        <f t="shared" si="64"/>
        <v>0</v>
      </c>
      <c r="AD249" s="42">
        <f t="shared" si="65"/>
        <v>0</v>
      </c>
    </row>
    <row r="250" spans="5:30">
      <c r="AC250" s="35">
        <f t="shared" si="64"/>
        <v>0</v>
      </c>
      <c r="AD250" s="42">
        <f t="shared" si="65"/>
        <v>0</v>
      </c>
    </row>
    <row r="251" spans="5:30">
      <c r="AC251" s="35">
        <f t="shared" si="64"/>
        <v>0</v>
      </c>
      <c r="AD251" s="42">
        <f t="shared" si="65"/>
        <v>0</v>
      </c>
    </row>
    <row r="252" spans="5:30">
      <c r="AC252" s="35">
        <f t="shared" si="64"/>
        <v>0</v>
      </c>
      <c r="AD252" s="42">
        <f t="shared" si="65"/>
        <v>0</v>
      </c>
    </row>
    <row r="253" spans="5:30">
      <c r="AC253" s="35">
        <f t="shared" si="64"/>
        <v>0</v>
      </c>
      <c r="AD253" s="42">
        <f t="shared" si="65"/>
        <v>0</v>
      </c>
    </row>
    <row r="254" spans="5:30">
      <c r="AC254" s="35">
        <f t="shared" si="64"/>
        <v>0</v>
      </c>
      <c r="AD254" s="42">
        <f t="shared" si="65"/>
        <v>0</v>
      </c>
    </row>
    <row r="255" spans="5:30">
      <c r="AC255" s="35">
        <f t="shared" si="64"/>
        <v>0</v>
      </c>
      <c r="AD255" s="42">
        <f t="shared" si="65"/>
        <v>0</v>
      </c>
    </row>
    <row r="256" spans="5:30">
      <c r="AC256" s="35">
        <f t="shared" si="64"/>
        <v>0</v>
      </c>
      <c r="AD256" s="42">
        <f t="shared" si="65"/>
        <v>0</v>
      </c>
    </row>
    <row r="257" spans="29:30">
      <c r="AC257" s="35">
        <f t="shared" si="64"/>
        <v>0</v>
      </c>
      <c r="AD257" s="42">
        <f t="shared" si="65"/>
        <v>0</v>
      </c>
    </row>
    <row r="258" spans="29:30">
      <c r="AC258" s="35">
        <f t="shared" si="64"/>
        <v>0</v>
      </c>
      <c r="AD258" s="42">
        <f t="shared" si="65"/>
        <v>0</v>
      </c>
    </row>
    <row r="259" spans="29:30">
      <c r="AC259" s="35">
        <f t="shared" si="64"/>
        <v>0</v>
      </c>
      <c r="AD259" s="42">
        <f t="shared" si="65"/>
        <v>0</v>
      </c>
    </row>
    <row r="260" spans="29:30">
      <c r="AC260" s="35">
        <f t="shared" si="64"/>
        <v>0</v>
      </c>
      <c r="AD260" s="42">
        <f t="shared" si="65"/>
        <v>0</v>
      </c>
    </row>
    <row r="261" spans="29:30">
      <c r="AC261" s="35">
        <f t="shared" si="64"/>
        <v>0</v>
      </c>
      <c r="AD261" s="42">
        <f t="shared" si="65"/>
        <v>0</v>
      </c>
    </row>
    <row r="262" spans="29:30">
      <c r="AC262" s="35">
        <f t="shared" si="64"/>
        <v>0</v>
      </c>
      <c r="AD262" s="42">
        <f t="shared" si="65"/>
        <v>0</v>
      </c>
    </row>
    <row r="263" spans="29:30">
      <c r="AC263" s="35">
        <f t="shared" si="64"/>
        <v>0</v>
      </c>
      <c r="AD263" s="42">
        <f t="shared" si="65"/>
        <v>0</v>
      </c>
    </row>
    <row r="264" spans="29:30">
      <c r="AC264" s="35">
        <f t="shared" si="64"/>
        <v>0</v>
      </c>
      <c r="AD264" s="42">
        <f t="shared" si="65"/>
        <v>0</v>
      </c>
    </row>
    <row r="265" spans="29:30">
      <c r="AC265" s="35">
        <f t="shared" si="64"/>
        <v>0</v>
      </c>
      <c r="AD265" s="42">
        <f t="shared" si="65"/>
        <v>0</v>
      </c>
    </row>
    <row r="266" spans="29:30">
      <c r="AC266" s="35">
        <f t="shared" si="64"/>
        <v>0</v>
      </c>
      <c r="AD266" s="42">
        <f t="shared" si="65"/>
        <v>0</v>
      </c>
    </row>
    <row r="267" spans="29:30">
      <c r="AC267" s="35">
        <f t="shared" si="64"/>
        <v>0</v>
      </c>
      <c r="AD267" s="42">
        <f t="shared" si="65"/>
        <v>0</v>
      </c>
    </row>
    <row r="268" spans="29:30">
      <c r="AC268" s="35">
        <f t="shared" si="64"/>
        <v>0</v>
      </c>
      <c r="AD268" s="42">
        <f t="shared" si="65"/>
        <v>0</v>
      </c>
    </row>
    <row r="269" spans="29:30">
      <c r="AC269" s="35">
        <f t="shared" si="64"/>
        <v>0</v>
      </c>
      <c r="AD269" s="42">
        <f t="shared" si="65"/>
        <v>0</v>
      </c>
    </row>
    <row r="270" spans="29:30">
      <c r="AC270" s="35">
        <f t="shared" si="64"/>
        <v>0</v>
      </c>
      <c r="AD270" s="42">
        <f t="shared" si="65"/>
        <v>0</v>
      </c>
    </row>
    <row r="271" spans="29:30">
      <c r="AC271" s="35">
        <f t="shared" si="64"/>
        <v>0</v>
      </c>
      <c r="AD271" s="42">
        <f t="shared" si="65"/>
        <v>0</v>
      </c>
    </row>
    <row r="272" spans="29:30">
      <c r="AC272" s="35">
        <f t="shared" si="64"/>
        <v>0</v>
      </c>
      <c r="AD272" s="42">
        <f t="shared" si="65"/>
        <v>0</v>
      </c>
    </row>
    <row r="273" spans="29:30">
      <c r="AC273" s="35">
        <f t="shared" si="64"/>
        <v>0</v>
      </c>
      <c r="AD273" s="42">
        <f t="shared" si="65"/>
        <v>0</v>
      </c>
    </row>
    <row r="274" spans="29:30">
      <c r="AC274" s="35">
        <f t="shared" si="64"/>
        <v>0</v>
      </c>
      <c r="AD274" s="42">
        <f t="shared" si="65"/>
        <v>0</v>
      </c>
    </row>
    <row r="275" spans="29:30">
      <c r="AC275" s="35">
        <f t="shared" si="64"/>
        <v>0</v>
      </c>
      <c r="AD275" s="42">
        <f t="shared" si="65"/>
        <v>0</v>
      </c>
    </row>
    <row r="276" spans="29:30">
      <c r="AC276" s="35">
        <f t="shared" si="64"/>
        <v>0</v>
      </c>
      <c r="AD276" s="42">
        <f t="shared" si="65"/>
        <v>0</v>
      </c>
    </row>
    <row r="277" spans="29:30">
      <c r="AC277" s="35">
        <f t="shared" si="64"/>
        <v>0</v>
      </c>
      <c r="AD277" s="42">
        <f t="shared" si="65"/>
        <v>0</v>
      </c>
    </row>
    <row r="278" spans="29:30">
      <c r="AC278" s="35">
        <f t="shared" si="64"/>
        <v>0</v>
      </c>
      <c r="AD278" s="42">
        <f t="shared" si="65"/>
        <v>0</v>
      </c>
    </row>
    <row r="279" spans="29:30">
      <c r="AC279" s="35">
        <f t="shared" si="64"/>
        <v>0</v>
      </c>
      <c r="AD279" s="42">
        <f t="shared" si="65"/>
        <v>0</v>
      </c>
    </row>
    <row r="280" spans="29:30">
      <c r="AC280" s="35">
        <f t="shared" si="64"/>
        <v>0</v>
      </c>
      <c r="AD280" s="42">
        <f t="shared" si="65"/>
        <v>0</v>
      </c>
    </row>
    <row r="281" spans="29:30">
      <c r="AC281" s="35">
        <f t="shared" si="64"/>
        <v>0</v>
      </c>
      <c r="AD281" s="42">
        <f t="shared" si="65"/>
        <v>0</v>
      </c>
    </row>
    <row r="282" spans="29:30">
      <c r="AC282" s="35">
        <f t="shared" si="64"/>
        <v>0</v>
      </c>
      <c r="AD282" s="42">
        <f t="shared" si="65"/>
        <v>0</v>
      </c>
    </row>
    <row r="283" spans="29:30">
      <c r="AC283" s="35">
        <f t="shared" si="64"/>
        <v>0</v>
      </c>
      <c r="AD283" s="42">
        <f t="shared" si="65"/>
        <v>0</v>
      </c>
    </row>
    <row r="284" spans="29:30">
      <c r="AC284" s="35">
        <f t="shared" si="64"/>
        <v>0</v>
      </c>
      <c r="AD284" s="42">
        <f t="shared" si="65"/>
        <v>0</v>
      </c>
    </row>
    <row r="285" spans="29:30">
      <c r="AC285" s="35">
        <f t="shared" ref="AC285:AC297" si="66">AA285+Y285+W285+U285+S285+Q285+O285+M285+K285+I285+G285+E285</f>
        <v>0</v>
      </c>
      <c r="AD285" s="42">
        <f t="shared" ref="AD285:AD297" si="67">AB285+Z285+X285+V285+T285+R285+P285+N285+L285+J285+H285+F285</f>
        <v>0</v>
      </c>
    </row>
    <row r="286" spans="29:30">
      <c r="AC286" s="35">
        <f t="shared" si="66"/>
        <v>0</v>
      </c>
      <c r="AD286" s="42">
        <f t="shared" si="67"/>
        <v>0</v>
      </c>
    </row>
    <row r="287" spans="29:30">
      <c r="AC287" s="35">
        <f t="shared" si="66"/>
        <v>0</v>
      </c>
      <c r="AD287" s="42">
        <f t="shared" si="67"/>
        <v>0</v>
      </c>
    </row>
    <row r="288" spans="29:30">
      <c r="AC288" s="35">
        <f t="shared" si="66"/>
        <v>0</v>
      </c>
      <c r="AD288" s="42">
        <f t="shared" si="67"/>
        <v>0</v>
      </c>
    </row>
    <row r="289" spans="29:30">
      <c r="AC289" s="35">
        <f t="shared" si="66"/>
        <v>0</v>
      </c>
      <c r="AD289" s="42">
        <f t="shared" si="67"/>
        <v>0</v>
      </c>
    </row>
    <row r="290" spans="29:30">
      <c r="AC290" s="35">
        <f t="shared" si="66"/>
        <v>0</v>
      </c>
      <c r="AD290" s="42">
        <f t="shared" si="67"/>
        <v>0</v>
      </c>
    </row>
    <row r="291" spans="29:30">
      <c r="AC291" s="35">
        <f t="shared" si="66"/>
        <v>0</v>
      </c>
      <c r="AD291" s="42">
        <f t="shared" si="67"/>
        <v>0</v>
      </c>
    </row>
    <row r="292" spans="29:30">
      <c r="AC292" s="35">
        <f t="shared" si="66"/>
        <v>0</v>
      </c>
      <c r="AD292" s="42">
        <f t="shared" si="67"/>
        <v>0</v>
      </c>
    </row>
    <row r="293" spans="29:30">
      <c r="AC293" s="35">
        <f t="shared" si="66"/>
        <v>0</v>
      </c>
      <c r="AD293" s="42">
        <f t="shared" si="67"/>
        <v>0</v>
      </c>
    </row>
    <row r="294" spans="29:30">
      <c r="AC294" s="35">
        <f t="shared" si="66"/>
        <v>0</v>
      </c>
      <c r="AD294" s="42">
        <f t="shared" si="67"/>
        <v>0</v>
      </c>
    </row>
    <row r="295" spans="29:30">
      <c r="AC295" s="35">
        <f t="shared" si="66"/>
        <v>0</v>
      </c>
      <c r="AD295" s="42">
        <f t="shared" si="67"/>
        <v>0</v>
      </c>
    </row>
    <row r="296" spans="29:30">
      <c r="AC296" s="35">
        <f t="shared" si="66"/>
        <v>0</v>
      </c>
      <c r="AD296" s="42">
        <f t="shared" si="67"/>
        <v>0</v>
      </c>
    </row>
    <row r="297" spans="29:30">
      <c r="AC297" s="35">
        <f t="shared" si="66"/>
        <v>0</v>
      </c>
      <c r="AD297" s="42">
        <f t="shared" si="67"/>
        <v>0</v>
      </c>
    </row>
  </sheetData>
  <sortState xmlns:xlrd2="http://schemas.microsoft.com/office/spreadsheetml/2017/richdata2" ref="A5:AD173">
    <sortCondition descending="1" ref="AC5:AC173"/>
  </sortState>
  <mergeCells count="12">
    <mergeCell ref="I4:J4"/>
    <mergeCell ref="G4:H4"/>
    <mergeCell ref="E4:F4"/>
    <mergeCell ref="AA4:AB4"/>
    <mergeCell ref="Y4:Z4"/>
    <mergeCell ref="W4:X4"/>
    <mergeCell ref="U4:V4"/>
    <mergeCell ref="S4:T4"/>
    <mergeCell ref="Q4:R4"/>
    <mergeCell ref="O4:P4"/>
    <mergeCell ref="M4:N4"/>
    <mergeCell ref="K4:L4"/>
  </mergeCells>
  <pageMargins left="0.7" right="0.7" top="0.75" bottom="0.75" header="0.3" footer="0.3"/>
  <pageSetup paperSize="9" orientation="portrait"/>
  <ignoredErrors>
    <ignoredError sqref="E2 AC2:AD2" formulaRange="1"/>
    <ignoredError sqref="F2 H2" formula="1"/>
    <ignoredError sqref="G2" formula="1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zoomScaleNormal="100" zoomScalePageLayoutView="70" workbookViewId="0">
      <pane xSplit="3" ySplit="2" topLeftCell="D3" activePane="bottomRight" state="frozen"/>
      <selection activeCell="H8" sqref="H8"/>
      <selection pane="topRight" activeCell="H8" sqref="H8"/>
      <selection pane="bottomLeft" activeCell="H8" sqref="H8"/>
      <selection pane="bottomRight" activeCell="C8" sqref="C8"/>
    </sheetView>
  </sheetViews>
  <sheetFormatPr baseColWidth="10" defaultColWidth="9.1640625" defaultRowHeight="15"/>
  <cols>
    <col min="1" max="1" width="1.83203125" customWidth="1"/>
    <col min="2" max="2" width="9.83203125" customWidth="1"/>
    <col min="3" max="3" width="9.6640625" customWidth="1"/>
    <col min="4" max="4" width="22.83203125" bestFit="1" customWidth="1"/>
    <col min="5" max="5" width="18" customWidth="1"/>
    <col min="6" max="6" width="18.83203125" customWidth="1"/>
    <col min="7" max="7" width="18.5" customWidth="1"/>
    <col min="8" max="8" width="16.6640625" customWidth="1"/>
    <col min="9" max="9" width="17.5" customWidth="1"/>
    <col min="10" max="10" width="19" customWidth="1"/>
    <col min="11" max="11" width="18.5" customWidth="1"/>
    <col min="12" max="12" width="18" customWidth="1"/>
    <col min="13" max="13" width="18.83203125" customWidth="1"/>
    <col min="14" max="14" width="18.5" customWidth="1"/>
    <col min="15" max="15" width="19.33203125" customWidth="1"/>
    <col min="16" max="16" width="23.33203125" customWidth="1"/>
    <col min="17" max="17" width="19.5" customWidth="1"/>
    <col min="18" max="18" width="17.83203125" customWidth="1"/>
    <col min="19" max="19" width="19.5" customWidth="1"/>
    <col min="20" max="20" width="24" customWidth="1"/>
    <col min="21" max="28" width="15.1640625" customWidth="1"/>
    <col min="29" max="29" width="15" customWidth="1"/>
  </cols>
  <sheetData>
    <row r="1" spans="1:20" ht="16" thickBot="1"/>
    <row r="2" spans="1:20" s="3" customFormat="1" ht="46.5" customHeight="1" thickBot="1">
      <c r="A2" s="1"/>
      <c r="B2" s="56" t="s">
        <v>18</v>
      </c>
      <c r="C2" s="57"/>
      <c r="D2" s="2" t="s">
        <v>30</v>
      </c>
      <c r="E2" s="2" t="s">
        <v>31</v>
      </c>
      <c r="F2" s="2" t="s">
        <v>32</v>
      </c>
      <c r="G2" s="2" t="s">
        <v>12</v>
      </c>
      <c r="H2" s="2" t="s">
        <v>33</v>
      </c>
      <c r="I2" s="2" t="s">
        <v>34</v>
      </c>
      <c r="J2" s="2" t="s">
        <v>35</v>
      </c>
      <c r="K2" s="2" t="s">
        <v>13</v>
      </c>
      <c r="L2" s="2" t="s">
        <v>36</v>
      </c>
      <c r="M2" s="2" t="s">
        <v>37</v>
      </c>
      <c r="N2" s="2" t="s">
        <v>38</v>
      </c>
      <c r="O2" s="2" t="s">
        <v>14</v>
      </c>
      <c r="P2" s="2" t="s">
        <v>39</v>
      </c>
      <c r="Q2" s="2" t="s">
        <v>40</v>
      </c>
      <c r="R2" s="2" t="s">
        <v>41</v>
      </c>
      <c r="S2" s="2" t="s">
        <v>15</v>
      </c>
      <c r="T2" s="33" t="s">
        <v>42</v>
      </c>
    </row>
    <row r="3" spans="1:20" s="1" customFormat="1" ht="18.75" customHeight="1">
      <c r="B3" s="25"/>
      <c r="C3" s="25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3"/>
    </row>
    <row r="4" spans="1:20" ht="20" customHeight="1">
      <c r="B4" s="4" t="s">
        <v>19</v>
      </c>
      <c r="C4" s="4"/>
      <c r="D4" s="7">
        <f>'input Licensee sales'!E2</f>
        <v>216</v>
      </c>
      <c r="E4" s="7">
        <f>'input Licensee sales'!G2</f>
        <v>47</v>
      </c>
      <c r="F4" s="7">
        <f>'input Licensee sales'!I2</f>
        <v>2594</v>
      </c>
      <c r="G4" s="7">
        <f>SUM(D4:F4)</f>
        <v>2857</v>
      </c>
      <c r="H4" s="7">
        <f>'input Licensee sales'!K2</f>
        <v>2223</v>
      </c>
      <c r="I4" s="7">
        <f>'input Licensee sales'!M2</f>
        <v>2896</v>
      </c>
      <c r="J4" s="7">
        <f>'input Licensee sales'!O2</f>
        <v>6264</v>
      </c>
      <c r="K4" s="7">
        <f>SUM(H4:J4)</f>
        <v>11383</v>
      </c>
      <c r="L4" s="7">
        <f>'input Licensee sales'!Q2</f>
        <v>2702</v>
      </c>
      <c r="M4" s="7">
        <f>'input Licensee sales'!S2</f>
        <v>0</v>
      </c>
      <c r="N4" s="7">
        <f>'input Licensee sales'!U2</f>
        <v>0</v>
      </c>
      <c r="O4" s="7">
        <f>SUM(L4:N4)</f>
        <v>2702</v>
      </c>
      <c r="P4" s="7">
        <f>'input Licensee sales'!W2</f>
        <v>0</v>
      </c>
      <c r="Q4" s="7">
        <f>'input Licensee sales'!Y2</f>
        <v>0</v>
      </c>
      <c r="R4" s="7">
        <f>'input Licensee sales'!AA2</f>
        <v>0</v>
      </c>
      <c r="S4" s="7">
        <f>SUM(P4:R4)</f>
        <v>0</v>
      </c>
      <c r="T4" s="31">
        <f>G4+K4+O4+S4</f>
        <v>16942</v>
      </c>
    </row>
    <row r="5" spans="1:20" ht="20" customHeight="1">
      <c r="C5" s="4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29"/>
    </row>
    <row r="6" spans="1:20" s="21" customFormat="1" ht="20" customHeight="1">
      <c r="B6" s="20" t="s">
        <v>0</v>
      </c>
      <c r="C6" s="18" t="s">
        <v>21</v>
      </c>
      <c r="D6" s="34">
        <f>'input Licensee sales'!F2</f>
        <v>5727625.3800000008</v>
      </c>
      <c r="E6" s="34">
        <f>'input Licensee sales'!H2</f>
        <v>1334519</v>
      </c>
      <c r="F6" s="34">
        <f>'input Licensee sales'!J2</f>
        <v>60596752.960000001</v>
      </c>
      <c r="G6" s="34">
        <f>SUM(D6:F6)</f>
        <v>67658897.340000004</v>
      </c>
      <c r="H6" s="34">
        <f>'input Licensee sales'!L2</f>
        <v>52723433.780000001</v>
      </c>
      <c r="I6" s="34">
        <f>'input Licensee sales'!N2</f>
        <v>68110687.420000002</v>
      </c>
      <c r="J6" s="34">
        <f>'input Licensee sales'!P2</f>
        <v>170348665.42000005</v>
      </c>
      <c r="K6" s="34">
        <f>SUM(H6:J6)</f>
        <v>291182786.62000006</v>
      </c>
      <c r="L6" s="34">
        <f>'input Licensee sales'!R2</f>
        <v>76267167.790000007</v>
      </c>
      <c r="M6" s="34">
        <f>'input Licensee sales'!T2</f>
        <v>0</v>
      </c>
      <c r="N6" s="34">
        <f>'input Licensee sales'!V2</f>
        <v>0</v>
      </c>
      <c r="O6" s="34">
        <f>SUM(L6:N6)</f>
        <v>76267167.790000007</v>
      </c>
      <c r="P6" s="34">
        <f>'input Licensee sales'!X2</f>
        <v>0</v>
      </c>
      <c r="Q6" s="34">
        <f>'input Licensee sales'!Z2</f>
        <v>0</v>
      </c>
      <c r="R6" s="34">
        <f>'input Licensee sales'!AB2</f>
        <v>0</v>
      </c>
      <c r="S6" s="34">
        <f>SUM(P6:R6)</f>
        <v>0</v>
      </c>
      <c r="T6" s="19">
        <f>G6+K6+O6+S6</f>
        <v>435108851.75000006</v>
      </c>
    </row>
    <row r="7" spans="1:20" ht="20" customHeight="1">
      <c r="B7" s="4"/>
      <c r="C7" s="24">
        <v>0.2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22"/>
    </row>
    <row r="8" spans="1:20" s="21" customFormat="1" ht="20" customHeight="1">
      <c r="B8" s="20" t="s">
        <v>1</v>
      </c>
      <c r="C8" s="18" t="str">
        <f>C6</f>
        <v>ARS</v>
      </c>
      <c r="D8" s="34">
        <f>$C7*D6</f>
        <v>1145525.0760000001</v>
      </c>
      <c r="E8" s="34">
        <f t="shared" ref="E8:R8" si="0">$C7*E6</f>
        <v>266903.8</v>
      </c>
      <c r="F8" s="34">
        <f t="shared" si="0"/>
        <v>12119350.592</v>
      </c>
      <c r="G8" s="34">
        <f>SUM(D8:F8)</f>
        <v>13531779.468</v>
      </c>
      <c r="H8" s="34">
        <f t="shared" si="0"/>
        <v>10544686.756000001</v>
      </c>
      <c r="I8" s="34">
        <f t="shared" si="0"/>
        <v>13622137.484000001</v>
      </c>
      <c r="J8" s="34">
        <f t="shared" si="0"/>
        <v>34069733.084000014</v>
      </c>
      <c r="K8" s="34">
        <f>SUM(H8:J8)</f>
        <v>58236557.324000016</v>
      </c>
      <c r="L8" s="34">
        <f t="shared" si="0"/>
        <v>15253433.558000002</v>
      </c>
      <c r="M8" s="34">
        <f t="shared" si="0"/>
        <v>0</v>
      </c>
      <c r="N8" s="34">
        <f t="shared" si="0"/>
        <v>0</v>
      </c>
      <c r="O8" s="34">
        <f>SUM(L8:N8)</f>
        <v>15253433.558000002</v>
      </c>
      <c r="P8" s="34">
        <f t="shared" si="0"/>
        <v>0</v>
      </c>
      <c r="Q8" s="34">
        <f t="shared" si="0"/>
        <v>0</v>
      </c>
      <c r="R8" s="34">
        <f t="shared" si="0"/>
        <v>0</v>
      </c>
      <c r="S8" s="34">
        <f>SUM(P8:R8)</f>
        <v>0</v>
      </c>
      <c r="T8" s="19">
        <f>G8+K8+O8+S8</f>
        <v>87021770.350000009</v>
      </c>
    </row>
    <row r="9" spans="1:20" ht="20" customHeight="1">
      <c r="B9" s="4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20" customHeight="1">
      <c r="C10" s="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0" customHeight="1"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20" customHeight="1">
      <c r="C12" s="4"/>
      <c r="D12" s="10"/>
      <c r="E12" s="10"/>
      <c r="F12" s="10"/>
      <c r="G12" s="10"/>
      <c r="H12" s="10"/>
    </row>
    <row r="13" spans="1:20" ht="20" customHeight="1">
      <c r="C13" s="13"/>
      <c r="D13" s="58" t="s">
        <v>23</v>
      </c>
      <c r="E13" s="58"/>
      <c r="F13" s="58"/>
      <c r="G13" s="58"/>
      <c r="H13" s="11"/>
    </row>
    <row r="14" spans="1:20" ht="20" customHeight="1">
      <c r="C14" s="13"/>
      <c r="D14" s="11" t="s">
        <v>2</v>
      </c>
      <c r="E14" s="11" t="s">
        <v>3</v>
      </c>
      <c r="F14" s="11" t="s">
        <v>4</v>
      </c>
      <c r="G14" s="11" t="s">
        <v>5</v>
      </c>
      <c r="H14" s="11"/>
    </row>
    <row r="15" spans="1:20" ht="20" customHeight="1">
      <c r="B15" s="4" t="s">
        <v>19</v>
      </c>
      <c r="C15" s="13" t="s">
        <v>20</v>
      </c>
      <c r="D15" s="32"/>
      <c r="E15" s="32"/>
      <c r="F15" s="32"/>
      <c r="G15" s="32"/>
      <c r="H15" s="11"/>
    </row>
    <row r="16" spans="1:20" ht="20" customHeight="1">
      <c r="B16" s="4" t="s">
        <v>10</v>
      </c>
      <c r="C16" s="13" t="s">
        <v>20</v>
      </c>
      <c r="D16" s="32"/>
      <c r="E16" s="32"/>
      <c r="F16" s="32"/>
      <c r="G16" s="32"/>
      <c r="H16" s="11"/>
    </row>
    <row r="17" spans="2:8" ht="20" customHeight="1">
      <c r="B17" s="4"/>
      <c r="C17" s="4"/>
      <c r="D17" s="11"/>
      <c r="E17" s="11"/>
      <c r="F17" s="11"/>
      <c r="G17" s="11"/>
      <c r="H17" s="12"/>
    </row>
    <row r="18" spans="2:8" ht="20" customHeight="1">
      <c r="B18" s="4"/>
      <c r="C18" s="30"/>
      <c r="D18" s="11"/>
      <c r="E18" s="11"/>
      <c r="F18" s="11"/>
      <c r="G18" s="11"/>
      <c r="H18" s="11"/>
    </row>
    <row r="19" spans="2:8" ht="20" customHeight="1">
      <c r="B19" s="4"/>
      <c r="C19" s="4"/>
      <c r="D19" s="11"/>
      <c r="E19" s="11"/>
      <c r="F19" s="11"/>
      <c r="G19" s="11"/>
      <c r="H19" s="12"/>
    </row>
    <row r="20" spans="2:8" ht="20" customHeight="1">
      <c r="B20" s="4"/>
      <c r="C20" s="4"/>
      <c r="D20" s="11"/>
      <c r="E20" s="11"/>
      <c r="F20" s="11"/>
      <c r="G20" s="11"/>
      <c r="H20" s="11"/>
    </row>
    <row r="21" spans="2:8" ht="20" customHeight="1"/>
  </sheetData>
  <mergeCells count="2">
    <mergeCell ref="B2:C2"/>
    <mergeCell ref="D13:G13"/>
  </mergeCells>
  <phoneticPr fontId="85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Licensee sales</vt:lpstr>
      <vt:lpstr>monthly</vt:lpstr>
    </vt:vector>
  </TitlesOfParts>
  <Manager/>
  <Company>Dobotex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Martina</dc:creator>
  <cp:keywords/>
  <dc:description/>
  <cp:lastModifiedBy>Francisco Balantzian</cp:lastModifiedBy>
  <dcterms:created xsi:type="dcterms:W3CDTF">2013-09-20T11:52:07Z</dcterms:created>
  <dcterms:modified xsi:type="dcterms:W3CDTF">2026-08-07T17:39:57Z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